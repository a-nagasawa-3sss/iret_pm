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iret_pm\高橋さん用フォルダ\"/>
    </mc:Choice>
  </mc:AlternateContent>
  <xr:revisionPtr revIDLastSave="0" documentId="13_ncr:1_{F54073A3-74F7-49E3-8832-04A32ABB88C1}" xr6:coauthVersionLast="47" xr6:coauthVersionMax="47" xr10:uidLastSave="{00000000-0000-0000-0000-000000000000}"/>
  <bookViews>
    <workbookView xWindow="11110" yWindow="0" windowWidth="11380" windowHeight="13370" xr2:uid="{048F0377-5F86-481C-B78B-CC2C2E2E164F}"/>
  </bookViews>
  <sheets>
    <sheet name="3.5_6.3図解" sheetId="1" r:id="rId1"/>
    <sheet name="3.6_5図解" sheetId="2" r:id="rId2"/>
    <sheet name="3.5_6図解" sheetId="5" r:id="rId3"/>
    <sheet name="Sheet3" sheetId="3" state="hidden" r:id="rId4"/>
  </sheets>
  <definedNames>
    <definedName name="_xlnm.Print_Area" localSheetId="2">'3.5_6図解'!$B$1:$AO$23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5" l="1"/>
  <c r="H5" i="5" s="1"/>
  <c r="I5" i="5" s="1"/>
  <c r="J5" i="5" s="1"/>
  <c r="K5" i="5" s="1"/>
  <c r="L5" i="5" s="1"/>
  <c r="M5" i="5" s="1"/>
  <c r="N5" i="5" s="1"/>
  <c r="G4" i="5"/>
  <c r="N4" i="5" l="1"/>
  <c r="O5" i="5"/>
  <c r="P5" i="5" s="1"/>
  <c r="Q5" i="5" s="1"/>
  <c r="R5" i="5" s="1"/>
  <c r="S5" i="5" s="1"/>
  <c r="T5" i="5" s="1"/>
  <c r="U5" i="5" s="1"/>
  <c r="V5" i="5" l="1"/>
  <c r="W5" i="5" s="1"/>
  <c r="X5" i="5" s="1"/>
  <c r="Y5" i="5" s="1"/>
  <c r="Z5" i="5" s="1"/>
  <c r="AA5" i="5" s="1"/>
  <c r="AB5" i="5" s="1"/>
  <c r="U4" i="5"/>
  <c r="AB4" i="5" l="1"/>
  <c r="AC5" i="5"/>
  <c r="AD5" i="5" s="1"/>
  <c r="AE5" i="5" s="1"/>
  <c r="AF5" i="5" s="1"/>
  <c r="AG5" i="5" s="1"/>
  <c r="AH5" i="5" s="1"/>
  <c r="AI5" i="5" s="1"/>
  <c r="AJ5" i="5" l="1"/>
  <c r="AK5" i="5" s="1"/>
  <c r="AL5" i="5" s="1"/>
  <c r="AM5" i="5" s="1"/>
  <c r="AN5" i="5" s="1"/>
  <c r="AO5" i="5" s="1"/>
  <c r="AP5" i="5" s="1"/>
  <c r="AI4" i="5"/>
  <c r="AP4" i="5" l="1"/>
  <c r="AQ5" i="5"/>
  <c r="AR5" i="5" s="1"/>
  <c r="AS5" i="5" s="1"/>
  <c r="AT5" i="5" s="1"/>
  <c r="AU5" i="5" s="1"/>
  <c r="AV5" i="5" s="1"/>
  <c r="AW5" i="5" s="1"/>
  <c r="AW4" i="5" l="1"/>
  <c r="AX5" i="5"/>
  <c r="AY5" i="5" s="1"/>
  <c r="AZ5" i="5" s="1"/>
  <c r="BA5" i="5" s="1"/>
  <c r="BB5" i="5" s="1"/>
  <c r="BC5" i="5" s="1"/>
  <c r="BD5" i="5" s="1"/>
  <c r="BE5" i="5" l="1"/>
  <c r="BF5" i="5" s="1"/>
  <c r="BG5" i="5" s="1"/>
  <c r="BH5" i="5" s="1"/>
  <c r="BI5" i="5" s="1"/>
  <c r="BJ5" i="5" s="1"/>
  <c r="BK5" i="5" s="1"/>
  <c r="BD4" i="5"/>
  <c r="BL5" i="5" l="1"/>
  <c r="BM5" i="5" s="1"/>
  <c r="BN5" i="5" s="1"/>
  <c r="BO5" i="5" s="1"/>
  <c r="BP5" i="5" s="1"/>
  <c r="BQ5" i="5" s="1"/>
  <c r="BR5" i="5" s="1"/>
  <c r="BK4" i="5"/>
  <c r="BS5" i="5" l="1"/>
  <c r="BT5" i="5" s="1"/>
  <c r="BU5" i="5" s="1"/>
  <c r="BV5" i="5" s="1"/>
  <c r="BW5" i="5" s="1"/>
  <c r="BX5" i="5" s="1"/>
  <c r="BY5" i="5" s="1"/>
  <c r="BR4" i="5"/>
  <c r="BZ5" i="5" l="1"/>
  <c r="CA5" i="5" s="1"/>
  <c r="CB5" i="5" s="1"/>
  <c r="CC5" i="5" s="1"/>
  <c r="CD5" i="5" s="1"/>
  <c r="CE5" i="5" s="1"/>
  <c r="CF5" i="5" s="1"/>
  <c r="BY4" i="5"/>
  <c r="CF4" i="5" l="1"/>
  <c r="CG5" i="5"/>
  <c r="CH5" i="5" s="1"/>
  <c r="CI5" i="5" s="1"/>
  <c r="CJ5" i="5" s="1"/>
  <c r="CK5" i="5" s="1"/>
  <c r="CL5" i="5" s="1"/>
  <c r="CM5" i="5" s="1"/>
  <c r="CM4" i="5" l="1"/>
  <c r="CN5" i="5"/>
  <c r="CO5" i="5" s="1"/>
  <c r="CP5" i="5" s="1"/>
  <c r="CQ5" i="5" s="1"/>
  <c r="CR5" i="5" s="1"/>
  <c r="CS5" i="5" s="1"/>
</calcChain>
</file>

<file path=xl/sharedStrings.xml><?xml version="1.0" encoding="utf-8"?>
<sst xmlns="http://schemas.openxmlformats.org/spreadsheetml/2006/main" count="90" uniqueCount="63">
  <si>
    <t>List</t>
    <phoneticPr fontId="1"/>
  </si>
  <si>
    <t>Start Day</t>
    <phoneticPr fontId="1"/>
  </si>
  <si>
    <t>End Day</t>
    <phoneticPr fontId="1"/>
  </si>
  <si>
    <t>Progress</t>
    <phoneticPr fontId="1"/>
  </si>
  <si>
    <t>WK1</t>
    <phoneticPr fontId="1"/>
  </si>
  <si>
    <t>WK2</t>
    <phoneticPr fontId="1"/>
  </si>
  <si>
    <t>WK3</t>
    <phoneticPr fontId="1"/>
  </si>
  <si>
    <t>WK4</t>
    <phoneticPr fontId="1"/>
  </si>
  <si>
    <t>WK5</t>
    <phoneticPr fontId="1"/>
  </si>
  <si>
    <t>~more</t>
    <phoneticPr fontId="1"/>
  </si>
  <si>
    <t>task1</t>
    <phoneticPr fontId="1"/>
  </si>
  <si>
    <t>task2</t>
    <phoneticPr fontId="1"/>
  </si>
  <si>
    <t>task3</t>
    <phoneticPr fontId="1"/>
  </si>
  <si>
    <t>task4</t>
    <phoneticPr fontId="1"/>
  </si>
  <si>
    <t>task5</t>
    <phoneticPr fontId="1"/>
  </si>
  <si>
    <t>task6</t>
    <phoneticPr fontId="1"/>
  </si>
  <si>
    <t>task7</t>
    <phoneticPr fontId="1"/>
  </si>
  <si>
    <t>task8</t>
    <phoneticPr fontId="1"/>
  </si>
  <si>
    <t>task9</t>
    <phoneticPr fontId="1"/>
  </si>
  <si>
    <t>202X/XX/XX</t>
    <phoneticPr fontId="1"/>
  </si>
  <si>
    <t>Submission</t>
    <phoneticPr fontId="1"/>
  </si>
  <si>
    <t>Project ID</t>
    <phoneticPr fontId="1"/>
  </si>
  <si>
    <r>
      <rPr>
        <b/>
        <sz val="11"/>
        <color theme="1"/>
        <rFont val="游ゴシック"/>
        <family val="3"/>
        <charset val="128"/>
        <scheme val="minor"/>
      </rPr>
      <t>Projet Start Day</t>
    </r>
    <r>
      <rPr>
        <sz val="11"/>
        <color theme="1"/>
        <rFont val="游ゴシック"/>
        <family val="2"/>
        <charset val="128"/>
        <scheme val="minor"/>
      </rPr>
      <t>：</t>
    </r>
    <r>
      <rPr>
        <sz val="11"/>
        <color theme="1"/>
        <rFont val="游ゴシック"/>
        <family val="3"/>
        <charset val="128"/>
        <scheme val="minor"/>
      </rPr>
      <t>202X/XX/XX</t>
    </r>
    <phoneticPr fontId="1"/>
  </si>
  <si>
    <r>
      <rPr>
        <b/>
        <sz val="11"/>
        <color theme="1"/>
        <rFont val="游ゴシック"/>
        <family val="3"/>
        <charset val="128"/>
        <scheme val="minor"/>
      </rPr>
      <t>Projet End Day</t>
    </r>
    <r>
      <rPr>
        <sz val="11"/>
        <color theme="1"/>
        <rFont val="游ゴシック"/>
        <family val="2"/>
        <charset val="128"/>
        <scheme val="minor"/>
      </rPr>
      <t>：</t>
    </r>
    <r>
      <rPr>
        <sz val="11"/>
        <color theme="1"/>
        <rFont val="游ゴシック"/>
        <family val="3"/>
        <charset val="128"/>
        <scheme val="minor"/>
      </rPr>
      <t>202X/XX/XX</t>
    </r>
    <phoneticPr fontId="1"/>
  </si>
  <si>
    <t>Progect Name</t>
    <phoneticPr fontId="1"/>
  </si>
  <si>
    <t>Project Duration</t>
    <phoneticPr fontId="1"/>
  </si>
  <si>
    <t>52weeks</t>
    <phoneticPr fontId="1"/>
  </si>
  <si>
    <t>Project Stage</t>
    <phoneticPr fontId="1"/>
  </si>
  <si>
    <t>Project Status</t>
    <phoneticPr fontId="1"/>
  </si>
  <si>
    <t>%of Completion</t>
    <phoneticPr fontId="1"/>
  </si>
  <si>
    <t>発生確率</t>
    <rPh sb="0" eb="2">
      <t>ハッセイ</t>
    </rPh>
    <rPh sb="2" eb="4">
      <t>カクリツ</t>
    </rPh>
    <phoneticPr fontId="1"/>
  </si>
  <si>
    <t>好機</t>
    <rPh sb="0" eb="2">
      <t>コウキ</t>
    </rPh>
    <phoneticPr fontId="1"/>
  </si>
  <si>
    <t>脅威</t>
    <rPh sb="0" eb="2">
      <t>キョウイ</t>
    </rPh>
    <phoneticPr fontId="1"/>
  </si>
  <si>
    <t>(P)</t>
    <phoneticPr fontId="1"/>
  </si>
  <si>
    <t xml:space="preserve">        プロジェクト スコープの決定</t>
  </si>
  <si>
    <t xml:space="preserve">        スポンサーの確保</t>
  </si>
  <si>
    <t xml:space="preserve">        リソースの定義</t>
  </si>
  <si>
    <t xml:space="preserve">        中核人員の確保</t>
  </si>
  <si>
    <t xml:space="preserve">        スコープ確定作業の完了</t>
  </si>
  <si>
    <t xml:space="preserve">        ニーズ分析の実施</t>
  </si>
  <si>
    <t xml:space="preserve">        ソフトウェアドラフト仕様の作成</t>
  </si>
  <si>
    <t xml:space="preserve">        予算の定義</t>
  </si>
  <si>
    <t xml:space="preserve">        ソフトウェア仕様を作成するチーム</t>
  </si>
  <si>
    <t xml:space="preserve">        ソフトウェア仕様に対するレビュー</t>
  </si>
  <si>
    <t xml:space="preserve">        承認の取得</t>
  </si>
  <si>
    <t xml:space="preserve">        機能の定義（スケジュール）</t>
  </si>
  <si>
    <t xml:space="preserve">        分析完了</t>
  </si>
  <si>
    <t>タスク名</t>
  </si>
  <si>
    <t>開始日</t>
  </si>
  <si>
    <t>終了日</t>
  </si>
  <si>
    <t>日数</t>
    <rPh sb="0" eb="2">
      <t>ニッスウ</t>
    </rPh>
    <phoneticPr fontId="1"/>
  </si>
  <si>
    <t>ソフトウェア開発</t>
    <phoneticPr fontId="1"/>
  </si>
  <si>
    <t xml:space="preserve">    スコープ確定作業</t>
    <phoneticPr fontId="1"/>
  </si>
  <si>
    <t xml:space="preserve">    ソフトウェア要件の分析</t>
    <phoneticPr fontId="1"/>
  </si>
  <si>
    <t>ソフトウェア開発</t>
    <phoneticPr fontId="6"/>
  </si>
  <si>
    <t>開始日</t>
    <rPh sb="0" eb="3">
      <t>カイシビ</t>
    </rPh>
    <phoneticPr fontId="6"/>
  </si>
  <si>
    <t>終了日</t>
    <rPh sb="0" eb="3">
      <t>シュウリョウビ</t>
    </rPh>
    <phoneticPr fontId="6"/>
  </si>
  <si>
    <t>タスク</t>
    <phoneticPr fontId="6"/>
  </si>
  <si>
    <t>担当者</t>
    <rPh sb="0" eb="3">
      <t>タントウシャ</t>
    </rPh>
    <phoneticPr fontId="6"/>
  </si>
  <si>
    <t>工数</t>
    <rPh sb="0" eb="2">
      <t>コウスウ</t>
    </rPh>
    <phoneticPr fontId="6"/>
  </si>
  <si>
    <t>完了日</t>
    <rPh sb="0" eb="3">
      <t>カンリョウビ</t>
    </rPh>
    <phoneticPr fontId="6"/>
  </si>
  <si>
    <t xml:space="preserve">    スコープ確定作業</t>
    <phoneticPr fontId="6"/>
  </si>
  <si>
    <t xml:space="preserve">  ソフトウェア要件の分析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</si>
</sst>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5" formatCode="m&quot;月&quot;"/>
    <numFmt numFmtId="186" formatCode="d"/>
    <numFmt numFmtId="187" formatCode="0\ &quot;日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明朝"/>
      <family val="2"/>
      <charset val="128"/>
    </font>
    <font>
      <sz val="18"/>
      <color theme="1"/>
      <name val="游明朝"/>
      <family val="2"/>
      <charset val="128"/>
    </font>
    <font>
      <sz val="6"/>
      <name val="游明朝"/>
      <family val="2"/>
      <charset val="128"/>
    </font>
    <font>
      <b/>
      <sz val="11"/>
      <color theme="1"/>
      <name val="游明朝"/>
      <family val="1"/>
      <charset val="128"/>
    </font>
    <font>
      <sz val="11"/>
      <name val="游明朝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/>
      <right/>
      <top style="thin">
        <color theme="1"/>
      </top>
      <bottom style="thin">
        <color theme="0" tint="-0.249977111117893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indexed="64"/>
      </right>
      <top style="thin">
        <color theme="0" tint="-0.249977111117893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 style="thin">
        <color theme="1"/>
      </top>
      <bottom style="thin">
        <color theme="0" tint="-0.249977111117893"/>
      </bottom>
      <diagonal/>
    </border>
    <border>
      <left/>
      <right style="medium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medium">
        <color theme="1"/>
      </right>
      <top/>
      <bottom style="thin">
        <color theme="0" tint="-0.249977111117893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double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medium">
        <color theme="1"/>
      </right>
      <top/>
      <bottom style="double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/>
      <top/>
      <bottom style="double">
        <color theme="1"/>
      </bottom>
      <diagonal/>
    </border>
    <border>
      <left style="medium">
        <color theme="1"/>
      </left>
      <right/>
      <top style="thin">
        <color theme="0" tint="-0.249977111117893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 style="thin">
        <color indexed="64"/>
      </top>
      <bottom style="thin">
        <color theme="0" tint="-0.249977111117893"/>
      </bottom>
      <diagonal/>
    </border>
    <border>
      <left style="medium">
        <color theme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double">
        <color theme="1"/>
      </bottom>
      <diagonal/>
    </border>
    <border>
      <left/>
      <right style="thin">
        <color indexed="64"/>
      </right>
      <top/>
      <bottom style="thin">
        <color theme="0" tint="-0.249977111117893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/>
      <right style="thin">
        <color indexed="64"/>
      </right>
      <top/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0" tint="-0.249977111117893"/>
      </bottom>
      <diagonal/>
    </border>
    <border>
      <left style="medium">
        <color theme="1"/>
      </left>
      <right style="thin">
        <color theme="1"/>
      </right>
      <top style="thin">
        <color theme="0" tint="-0.249977111117893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/>
      <right/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9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3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9" fontId="0" fillId="0" borderId="22" xfId="0" applyNumberFormat="1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7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2" fillId="0" borderId="5" xfId="0" applyFont="1" applyBorder="1">
      <alignment vertical="center"/>
    </xf>
    <xf numFmtId="0" fontId="0" fillId="0" borderId="5" xfId="0" applyBorder="1">
      <alignment vertical="center"/>
    </xf>
    <xf numFmtId="0" fontId="0" fillId="0" borderId="5" xfId="0" applyBorder="1">
      <alignment vertical="center"/>
    </xf>
    <xf numFmtId="0" fontId="2" fillId="0" borderId="30" xfId="0" applyFont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3" xfId="0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2" fillId="0" borderId="37" xfId="0" applyFont="1" applyBorder="1">
      <alignment vertical="center"/>
    </xf>
    <xf numFmtId="0" fontId="2" fillId="0" borderId="38" xfId="0" applyFont="1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0" borderId="5" xfId="0" applyFont="1" applyBorder="1">
      <alignment vertical="center"/>
    </xf>
    <xf numFmtId="0" fontId="2" fillId="0" borderId="29" xfId="0" applyFont="1" applyBorder="1">
      <alignment vertical="center"/>
    </xf>
    <xf numFmtId="0" fontId="3" fillId="0" borderId="32" xfId="0" applyFont="1" applyBorder="1">
      <alignment vertical="center"/>
    </xf>
    <xf numFmtId="0" fontId="3" fillId="0" borderId="33" xfId="0" applyFont="1" applyBorder="1">
      <alignment vertical="center"/>
    </xf>
    <xf numFmtId="0" fontId="0" fillId="0" borderId="34" xfId="0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0" borderId="45" xfId="0" applyBorder="1" applyAlignment="1">
      <alignment horizontal="left"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0" fontId="0" fillId="0" borderId="26" xfId="0" applyBorder="1">
      <alignment vertical="center"/>
    </xf>
    <xf numFmtId="0" fontId="0" fillId="0" borderId="50" xfId="0" applyBorder="1">
      <alignment vertical="center"/>
    </xf>
    <xf numFmtId="0" fontId="0" fillId="0" borderId="51" xfId="0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2" fontId="0" fillId="0" borderId="0" xfId="0" applyNumberFormat="1">
      <alignment vertical="center"/>
    </xf>
    <xf numFmtId="2" fontId="0" fillId="0" borderId="5" xfId="0" applyNumberFormat="1" applyBorder="1">
      <alignment vertical="center"/>
    </xf>
    <xf numFmtId="0" fontId="0" fillId="2" borderId="5" xfId="0" applyFill="1" applyBorder="1">
      <alignment vertical="center"/>
    </xf>
    <xf numFmtId="2" fontId="0" fillId="2" borderId="5" xfId="0" applyNumberFormat="1" applyFill="1" applyBorder="1">
      <alignment vertical="center"/>
    </xf>
    <xf numFmtId="0" fontId="0" fillId="3" borderId="5" xfId="0" applyFill="1" applyBorder="1">
      <alignment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2" fontId="2" fillId="0" borderId="32" xfId="0" applyNumberFormat="1" applyFont="1" applyBorder="1" applyAlignment="1">
      <alignment horizontal="center" vertical="center"/>
    </xf>
    <xf numFmtId="0" fontId="0" fillId="3" borderId="33" xfId="0" applyFill="1" applyBorder="1">
      <alignment vertical="center"/>
    </xf>
    <xf numFmtId="2" fontId="0" fillId="0" borderId="34" xfId="0" applyNumberFormat="1" applyBorder="1">
      <alignment vertical="center"/>
    </xf>
    <xf numFmtId="0" fontId="0" fillId="0" borderId="35" xfId="0" applyBorder="1">
      <alignment vertical="center"/>
    </xf>
    <xf numFmtId="2" fontId="0" fillId="0" borderId="35" xfId="0" applyNumberFormat="1" applyBorder="1">
      <alignment vertical="center"/>
    </xf>
    <xf numFmtId="0" fontId="0" fillId="0" borderId="36" xfId="0" applyBorder="1">
      <alignment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center" wrapText="1"/>
    </xf>
    <xf numFmtId="14" fontId="2" fillId="0" borderId="0" xfId="0" applyNumberFormat="1" applyFont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0" borderId="0" xfId="1" applyNumberFormat="1" applyAlignment="1">
      <alignment horizontal="center" vertical="center"/>
    </xf>
    <xf numFmtId="0" fontId="4" fillId="0" borderId="0" xfId="1">
      <alignment vertical="center"/>
    </xf>
    <xf numFmtId="0" fontId="5" fillId="0" borderId="54" xfId="1" applyFont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14" fontId="4" fillId="0" borderId="54" xfId="1" applyNumberFormat="1" applyBorder="1" applyAlignment="1">
      <alignment horizontal="center" vertical="center"/>
    </xf>
    <xf numFmtId="0" fontId="4" fillId="4" borderId="55" xfId="1" applyFill="1" applyBorder="1" applyAlignment="1">
      <alignment horizontal="center" vertical="center"/>
    </xf>
    <xf numFmtId="0" fontId="4" fillId="4" borderId="56" xfId="1" applyFill="1" applyBorder="1" applyAlignment="1">
      <alignment horizontal="center" vertical="center"/>
    </xf>
    <xf numFmtId="0" fontId="4" fillId="4" borderId="57" xfId="1" applyFill="1" applyBorder="1" applyAlignment="1">
      <alignment horizontal="center" vertical="center"/>
    </xf>
    <xf numFmtId="185" fontId="4" fillId="5" borderId="57" xfId="1" applyNumberFormat="1" applyFill="1" applyBorder="1" applyAlignment="1">
      <alignment horizontal="left" vertical="center" indent="1"/>
    </xf>
    <xf numFmtId="185" fontId="4" fillId="5" borderId="58" xfId="1" applyNumberFormat="1" applyFill="1" applyBorder="1" applyAlignment="1">
      <alignment horizontal="left" vertical="center" indent="1"/>
    </xf>
    <xf numFmtId="185" fontId="4" fillId="5" borderId="59" xfId="1" applyNumberFormat="1" applyFill="1" applyBorder="1" applyAlignment="1">
      <alignment horizontal="left" vertical="center" indent="1"/>
    </xf>
    <xf numFmtId="0" fontId="4" fillId="4" borderId="60" xfId="1" applyFill="1" applyBorder="1" applyAlignment="1">
      <alignment horizontal="center" vertical="center"/>
    </xf>
    <xf numFmtId="186" fontId="4" fillId="0" borderId="60" xfId="1" applyNumberFormat="1" applyBorder="1" applyAlignment="1">
      <alignment horizontal="center" vertical="center"/>
    </xf>
    <xf numFmtId="0" fontId="7" fillId="6" borderId="57" xfId="1" applyFont="1" applyFill="1" applyBorder="1">
      <alignment vertical="center"/>
    </xf>
    <xf numFmtId="0" fontId="7" fillId="6" borderId="58" xfId="1" applyFont="1" applyFill="1" applyBorder="1">
      <alignment vertical="center"/>
    </xf>
    <xf numFmtId="14" fontId="7" fillId="6" borderId="58" xfId="1" applyNumberFormat="1" applyFont="1" applyFill="1" applyBorder="1">
      <alignment vertical="center"/>
    </xf>
    <xf numFmtId="14" fontId="7" fillId="6" borderId="59" xfId="1" applyNumberFormat="1" applyFont="1" applyFill="1" applyBorder="1">
      <alignment vertical="center"/>
    </xf>
    <xf numFmtId="0" fontId="4" fillId="0" borderId="55" xfId="1" applyBorder="1" applyAlignment="1">
      <alignment horizontal="center" vertical="center"/>
    </xf>
    <xf numFmtId="0" fontId="4" fillId="0" borderId="57" xfId="1" applyBorder="1" applyAlignment="1">
      <alignment horizontal="center" vertical="center"/>
    </xf>
    <xf numFmtId="0" fontId="4" fillId="0" borderId="55" xfId="1" applyBorder="1">
      <alignment vertical="center"/>
    </xf>
    <xf numFmtId="187" fontId="4" fillId="0" borderId="55" xfId="1" applyNumberFormat="1" applyBorder="1">
      <alignment vertical="center"/>
    </xf>
    <xf numFmtId="14" fontId="4" fillId="0" borderId="55" xfId="1" applyNumberFormat="1" applyBorder="1">
      <alignment vertical="center"/>
    </xf>
    <xf numFmtId="0" fontId="8" fillId="0" borderId="57" xfId="1" applyFont="1" applyBorder="1" applyAlignment="1">
      <alignment horizontal="center" vertical="center"/>
    </xf>
    <xf numFmtId="20" fontId="4" fillId="0" borderId="55" xfId="1" applyNumberFormat="1" applyBorder="1" applyAlignment="1">
      <alignment horizontal="center" vertical="center"/>
    </xf>
    <xf numFmtId="0" fontId="8" fillId="0" borderId="55" xfId="1" applyFont="1" applyBorder="1">
      <alignment vertical="center"/>
    </xf>
    <xf numFmtId="187" fontId="8" fillId="0" borderId="55" xfId="1" applyNumberFormat="1" applyFont="1" applyBorder="1">
      <alignment vertical="center"/>
    </xf>
    <xf numFmtId="14" fontId="8" fillId="0" borderId="55" xfId="1" applyNumberFormat="1" applyFont="1" applyBorder="1">
      <alignment vertical="center"/>
    </xf>
    <xf numFmtId="0" fontId="4" fillId="0" borderId="0" xfId="1" applyAlignment="1">
      <alignment horizontal="left" vertical="center"/>
    </xf>
  </cellXfs>
  <cellStyles count="2">
    <cellStyle name="標準" xfId="0" builtinId="0"/>
    <cellStyle name="標準 2" xfId="1" xr:uid="{A7789D78-5A0D-4F38-85E6-F4F2BEF55F8B}"/>
  </cellStyles>
  <dxfs count="2">
    <dxf>
      <fill>
        <patternFill>
          <bgColor theme="3" tint="0.39994506668294322"/>
        </patternFill>
      </fill>
      <border>
        <left/>
        <right/>
        <top style="thin">
          <color theme="1" tint="0.499984740745262"/>
        </top>
        <bottom style="thin">
          <color theme="1" tint="0.499984740745262"/>
        </bottom>
      </border>
    </dxf>
    <dxf>
      <fill>
        <patternFill>
          <bgColor theme="3" tint="0.39994506668294322"/>
        </patternFill>
      </fill>
      <border>
        <left/>
        <right/>
        <top style="thin">
          <color theme="1" tint="0.499984740745262"/>
        </top>
        <bottom style="thin">
          <color theme="1" tint="0.499984740745262"/>
        </bottom>
      </border>
    </dxf>
  </dxfs>
  <tableStyles count="0" defaultTableStyle="TableStyleMedium2" defaultPivotStyle="PivotStyleLight16"/>
  <colors>
    <mruColors>
      <color rgb="FFF9B7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14110</xdr:colOff>
      <xdr:row>6</xdr:row>
      <xdr:rowOff>21167</xdr:rowOff>
    </xdr:from>
    <xdr:to>
      <xdr:col>7</xdr:col>
      <xdr:colOff>430389</xdr:colOff>
      <xdr:row>6</xdr:row>
      <xdr:rowOff>225779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B90A7544-6BF1-7166-4492-50F9307D153E}"/>
            </a:ext>
          </a:extLst>
        </xdr:cNvPr>
        <xdr:cNvSpPr/>
      </xdr:nvSpPr>
      <xdr:spPr>
        <a:xfrm>
          <a:off x="4035777" y="1397000"/>
          <a:ext cx="1742723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286951</xdr:colOff>
      <xdr:row>8</xdr:row>
      <xdr:rowOff>13956</xdr:rowOff>
    </xdr:from>
    <xdr:to>
      <xdr:col>7</xdr:col>
      <xdr:colOff>509396</xdr:colOff>
      <xdr:row>8</xdr:row>
      <xdr:rowOff>218568</xdr:rowOff>
    </xdr:to>
    <xdr:sp macro="" textlink="">
      <xdr:nvSpPr>
        <xdr:cNvPr id="3" name="矢印: 右 2">
          <a:extLst>
            <a:ext uri="{FF2B5EF4-FFF2-40B4-BE49-F238E27FC236}">
              <a16:creationId xmlns:a16="http://schemas.microsoft.com/office/drawing/2014/main" id="{01640F52-6BA4-40D1-9CA0-6608B9C1C330}"/>
            </a:ext>
          </a:extLst>
        </xdr:cNvPr>
        <xdr:cNvSpPr/>
      </xdr:nvSpPr>
      <xdr:spPr>
        <a:xfrm>
          <a:off x="4292336" y="1870110"/>
          <a:ext cx="1541291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251208</xdr:colOff>
      <xdr:row>12</xdr:row>
      <xdr:rowOff>14115</xdr:rowOff>
    </xdr:from>
    <xdr:to>
      <xdr:col>8</xdr:col>
      <xdr:colOff>497615</xdr:colOff>
      <xdr:row>12</xdr:row>
      <xdr:rowOff>218727</xdr:rowOff>
    </xdr:to>
    <xdr:sp macro="" textlink="">
      <xdr:nvSpPr>
        <xdr:cNvPr id="4" name="矢印: 右 3">
          <a:extLst>
            <a:ext uri="{FF2B5EF4-FFF2-40B4-BE49-F238E27FC236}">
              <a16:creationId xmlns:a16="http://schemas.microsoft.com/office/drawing/2014/main" id="{70974C8B-1B4C-417E-A3B5-DF063BCF7EFB}"/>
            </a:ext>
          </a:extLst>
        </xdr:cNvPr>
        <xdr:cNvSpPr/>
      </xdr:nvSpPr>
      <xdr:spPr>
        <a:xfrm>
          <a:off x="4916016" y="2791368"/>
          <a:ext cx="1565253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233766</xdr:colOff>
      <xdr:row>10</xdr:row>
      <xdr:rowOff>13956</xdr:rowOff>
    </xdr:from>
    <xdr:to>
      <xdr:col>8</xdr:col>
      <xdr:colOff>293078</xdr:colOff>
      <xdr:row>10</xdr:row>
      <xdr:rowOff>218568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AF8B1FE2-EACC-4130-B3B1-6079B3BE23F8}"/>
            </a:ext>
          </a:extLst>
        </xdr:cNvPr>
        <xdr:cNvSpPr/>
      </xdr:nvSpPr>
      <xdr:spPr>
        <a:xfrm>
          <a:off x="4898574" y="2330659"/>
          <a:ext cx="1378158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0</xdr:colOff>
      <xdr:row>14</xdr:row>
      <xdr:rowOff>10467</xdr:rowOff>
    </xdr:from>
    <xdr:to>
      <xdr:col>9</xdr:col>
      <xdr:colOff>59312</xdr:colOff>
      <xdr:row>14</xdr:row>
      <xdr:rowOff>215079</xdr:rowOff>
    </xdr:to>
    <xdr:sp macro="" textlink="">
      <xdr:nvSpPr>
        <xdr:cNvPr id="6" name="矢印: 右 5">
          <a:extLst>
            <a:ext uri="{FF2B5EF4-FFF2-40B4-BE49-F238E27FC236}">
              <a16:creationId xmlns:a16="http://schemas.microsoft.com/office/drawing/2014/main" id="{95608136-23FF-4EEC-9159-71814D77338B}"/>
            </a:ext>
          </a:extLst>
        </xdr:cNvPr>
        <xdr:cNvSpPr/>
      </xdr:nvSpPr>
      <xdr:spPr>
        <a:xfrm>
          <a:off x="5324231" y="3248269"/>
          <a:ext cx="1378158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16</xdr:row>
      <xdr:rowOff>13956</xdr:rowOff>
    </xdr:from>
    <xdr:to>
      <xdr:col>9</xdr:col>
      <xdr:colOff>237253</xdr:colOff>
      <xdr:row>16</xdr:row>
      <xdr:rowOff>218568</xdr:rowOff>
    </xdr:to>
    <xdr:sp macro="" textlink="">
      <xdr:nvSpPr>
        <xdr:cNvPr id="7" name="矢印: 右 6">
          <a:extLst>
            <a:ext uri="{FF2B5EF4-FFF2-40B4-BE49-F238E27FC236}">
              <a16:creationId xmlns:a16="http://schemas.microsoft.com/office/drawing/2014/main" id="{AB3364A7-3DE7-4A37-8C26-45DD5BF16655}"/>
            </a:ext>
          </a:extLst>
        </xdr:cNvPr>
        <xdr:cNvSpPr/>
      </xdr:nvSpPr>
      <xdr:spPr>
        <a:xfrm>
          <a:off x="5983654" y="3712308"/>
          <a:ext cx="896676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18</xdr:row>
      <xdr:rowOff>0</xdr:rowOff>
    </xdr:from>
    <xdr:to>
      <xdr:col>9</xdr:col>
      <xdr:colOff>429148</xdr:colOff>
      <xdr:row>18</xdr:row>
      <xdr:rowOff>204612</xdr:rowOff>
    </xdr:to>
    <xdr:sp macro="" textlink="">
      <xdr:nvSpPr>
        <xdr:cNvPr id="8" name="矢印: 右 7">
          <a:extLst>
            <a:ext uri="{FF2B5EF4-FFF2-40B4-BE49-F238E27FC236}">
              <a16:creationId xmlns:a16="http://schemas.microsoft.com/office/drawing/2014/main" id="{8B60CE6A-7B65-4D3A-A374-789B87A05410}"/>
            </a:ext>
          </a:extLst>
        </xdr:cNvPr>
        <xdr:cNvSpPr/>
      </xdr:nvSpPr>
      <xdr:spPr>
        <a:xfrm>
          <a:off x="5983654" y="4158901"/>
          <a:ext cx="1088571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317500</xdr:colOff>
      <xdr:row>20</xdr:row>
      <xdr:rowOff>6978</xdr:rowOff>
    </xdr:from>
    <xdr:to>
      <xdr:col>9</xdr:col>
      <xdr:colOff>502418</xdr:colOff>
      <xdr:row>20</xdr:row>
      <xdr:rowOff>211590</xdr:rowOff>
    </xdr:to>
    <xdr:sp macro="" textlink="">
      <xdr:nvSpPr>
        <xdr:cNvPr id="9" name="矢印: 右 8">
          <a:extLst>
            <a:ext uri="{FF2B5EF4-FFF2-40B4-BE49-F238E27FC236}">
              <a16:creationId xmlns:a16="http://schemas.microsoft.com/office/drawing/2014/main" id="{28611D17-57D4-432A-A014-B5CB162AD78D}"/>
            </a:ext>
          </a:extLst>
        </xdr:cNvPr>
        <xdr:cNvSpPr/>
      </xdr:nvSpPr>
      <xdr:spPr>
        <a:xfrm>
          <a:off x="6301154" y="4626429"/>
          <a:ext cx="844341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115137</xdr:colOff>
      <xdr:row>22</xdr:row>
      <xdr:rowOff>17445</xdr:rowOff>
    </xdr:from>
    <xdr:to>
      <xdr:col>9</xdr:col>
      <xdr:colOff>648956</xdr:colOff>
      <xdr:row>22</xdr:row>
      <xdr:rowOff>222057</xdr:rowOff>
    </xdr:to>
    <xdr:sp macro="" textlink="">
      <xdr:nvSpPr>
        <xdr:cNvPr id="10" name="矢印: 右 9">
          <a:extLst>
            <a:ext uri="{FF2B5EF4-FFF2-40B4-BE49-F238E27FC236}">
              <a16:creationId xmlns:a16="http://schemas.microsoft.com/office/drawing/2014/main" id="{E6189B9F-CE21-4EF8-85B7-64F36483765E}"/>
            </a:ext>
          </a:extLst>
        </xdr:cNvPr>
        <xdr:cNvSpPr/>
      </xdr:nvSpPr>
      <xdr:spPr>
        <a:xfrm>
          <a:off x="6758214" y="5097445"/>
          <a:ext cx="533819" cy="20461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0</xdr:colOff>
      <xdr:row>7</xdr:row>
      <xdr:rowOff>17445</xdr:rowOff>
    </xdr:from>
    <xdr:to>
      <xdr:col>7</xdr:col>
      <xdr:colOff>416279</xdr:colOff>
      <xdr:row>7</xdr:row>
      <xdr:rowOff>222057</xdr:rowOff>
    </xdr:to>
    <xdr:sp macro="" textlink="">
      <xdr:nvSpPr>
        <xdr:cNvPr id="11" name="矢印: 右 10">
          <a:extLst>
            <a:ext uri="{FF2B5EF4-FFF2-40B4-BE49-F238E27FC236}">
              <a16:creationId xmlns:a16="http://schemas.microsoft.com/office/drawing/2014/main" id="{5BA61A92-EC23-43B0-B8FC-EC61915CD157}"/>
            </a:ext>
          </a:extLst>
        </xdr:cNvPr>
        <xdr:cNvSpPr/>
      </xdr:nvSpPr>
      <xdr:spPr>
        <a:xfrm>
          <a:off x="4005385" y="1643324"/>
          <a:ext cx="1735125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432637</xdr:colOff>
      <xdr:row>9</xdr:row>
      <xdr:rowOff>13956</xdr:rowOff>
    </xdr:from>
    <xdr:to>
      <xdr:col>8</xdr:col>
      <xdr:colOff>4576</xdr:colOff>
      <xdr:row>9</xdr:row>
      <xdr:rowOff>218568</xdr:rowOff>
    </xdr:to>
    <xdr:sp macro="" textlink="">
      <xdr:nvSpPr>
        <xdr:cNvPr id="12" name="矢印: 右 11">
          <a:extLst>
            <a:ext uri="{FF2B5EF4-FFF2-40B4-BE49-F238E27FC236}">
              <a16:creationId xmlns:a16="http://schemas.microsoft.com/office/drawing/2014/main" id="{355DDD80-9FF5-4415-A46D-E2222DEA1393}"/>
            </a:ext>
          </a:extLst>
        </xdr:cNvPr>
        <xdr:cNvSpPr/>
      </xdr:nvSpPr>
      <xdr:spPr>
        <a:xfrm>
          <a:off x="4438022" y="2100385"/>
          <a:ext cx="1550208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195383</xdr:colOff>
      <xdr:row>11</xdr:row>
      <xdr:rowOff>17445</xdr:rowOff>
    </xdr:from>
    <xdr:to>
      <xdr:col>8</xdr:col>
      <xdr:colOff>261676</xdr:colOff>
      <xdr:row>11</xdr:row>
      <xdr:rowOff>222057</xdr:rowOff>
    </xdr:to>
    <xdr:sp macro="" textlink="">
      <xdr:nvSpPr>
        <xdr:cNvPr id="13" name="矢印: 右 12">
          <a:extLst>
            <a:ext uri="{FF2B5EF4-FFF2-40B4-BE49-F238E27FC236}">
              <a16:creationId xmlns:a16="http://schemas.microsoft.com/office/drawing/2014/main" id="{CB825426-3110-47DF-9C4F-E6D9F2553531}"/>
            </a:ext>
          </a:extLst>
        </xdr:cNvPr>
        <xdr:cNvSpPr/>
      </xdr:nvSpPr>
      <xdr:spPr>
        <a:xfrm>
          <a:off x="4860191" y="2564423"/>
          <a:ext cx="1385139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380301</xdr:colOff>
      <xdr:row>13</xdr:row>
      <xdr:rowOff>10467</xdr:rowOff>
    </xdr:from>
    <xdr:to>
      <xdr:col>8</xdr:col>
      <xdr:colOff>352390</xdr:colOff>
      <xdr:row>13</xdr:row>
      <xdr:rowOff>215079</xdr:rowOff>
    </xdr:to>
    <xdr:sp macro="" textlink="">
      <xdr:nvSpPr>
        <xdr:cNvPr id="14" name="矢印: 右 13">
          <a:extLst>
            <a:ext uri="{FF2B5EF4-FFF2-40B4-BE49-F238E27FC236}">
              <a16:creationId xmlns:a16="http://schemas.microsoft.com/office/drawing/2014/main" id="{6E55A4F1-978C-48DC-B938-3A3DB75FD154}"/>
            </a:ext>
          </a:extLst>
        </xdr:cNvPr>
        <xdr:cNvSpPr/>
      </xdr:nvSpPr>
      <xdr:spPr>
        <a:xfrm>
          <a:off x="5045109" y="3017994"/>
          <a:ext cx="1290935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0</xdr:colOff>
      <xdr:row>15</xdr:row>
      <xdr:rowOff>13956</xdr:rowOff>
    </xdr:from>
    <xdr:to>
      <xdr:col>8</xdr:col>
      <xdr:colOff>219808</xdr:colOff>
      <xdr:row>15</xdr:row>
      <xdr:rowOff>218568</xdr:rowOff>
    </xdr:to>
    <xdr:sp macro="" textlink="">
      <xdr:nvSpPr>
        <xdr:cNvPr id="15" name="矢印: 右 14">
          <a:extLst>
            <a:ext uri="{FF2B5EF4-FFF2-40B4-BE49-F238E27FC236}">
              <a16:creationId xmlns:a16="http://schemas.microsoft.com/office/drawing/2014/main" id="{3654DBCC-72AD-4793-BC2A-FE059A682688}"/>
            </a:ext>
          </a:extLst>
        </xdr:cNvPr>
        <xdr:cNvSpPr/>
      </xdr:nvSpPr>
      <xdr:spPr>
        <a:xfrm>
          <a:off x="5324231" y="3482033"/>
          <a:ext cx="879231" cy="204612"/>
        </a:xfrm>
        <a:prstGeom prst="right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464403</xdr:colOff>
      <xdr:row>16</xdr:row>
      <xdr:rowOff>18956</xdr:rowOff>
    </xdr:from>
    <xdr:to>
      <xdr:col>4</xdr:col>
      <xdr:colOff>651282</xdr:colOff>
      <xdr:row>21</xdr:row>
      <xdr:rowOff>211667</xdr:rowOff>
    </xdr:to>
    <xdr:sp macro="" textlink="">
      <xdr:nvSpPr>
        <xdr:cNvPr id="16" name="吹き出し: 四角形 15">
          <a:extLst>
            <a:ext uri="{FF2B5EF4-FFF2-40B4-BE49-F238E27FC236}">
              <a16:creationId xmlns:a16="http://schemas.microsoft.com/office/drawing/2014/main" id="{B4323DF6-47F1-89AB-64D3-F044FF2B8399}"/>
            </a:ext>
          </a:extLst>
        </xdr:cNvPr>
        <xdr:cNvSpPr/>
      </xdr:nvSpPr>
      <xdr:spPr>
        <a:xfrm>
          <a:off x="1327352" y="3666135"/>
          <a:ext cx="2678033" cy="1332455"/>
        </a:xfrm>
        <a:prstGeom prst="wedgeRectCallout">
          <a:avLst>
            <a:gd name="adj1" fmla="val -62201"/>
            <a:gd name="adj2" fmla="val -53448"/>
          </a:avLst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 b="1"/>
            <a:t>ステークホルダーへの情報提供ニーズで粒度を変える</a:t>
          </a:r>
          <a:endParaRPr kumimoji="1" lang="en-US" altLang="ja-JP" sz="1400" b="1"/>
        </a:p>
        <a:p>
          <a:pPr algn="l"/>
          <a:r>
            <a:rPr kumimoji="1" lang="ja-JP" altLang="en-US" sz="1400" b="1"/>
            <a:t>経営層には、タスクレベルではなく、</a:t>
          </a:r>
          <a:r>
            <a:rPr kumimoji="1" lang="en-US" altLang="ja-JP" sz="1400" b="1"/>
            <a:t>WBS</a:t>
          </a:r>
          <a:r>
            <a:rPr kumimoji="1" lang="ja-JP" altLang="en-US" sz="1400" b="1"/>
            <a:t>の階層レベルなど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229454</xdr:colOff>
      <xdr:row>11</xdr:row>
      <xdr:rowOff>0</xdr:rowOff>
    </xdr:from>
    <xdr:to>
      <xdr:col>7</xdr:col>
      <xdr:colOff>410883</xdr:colOff>
      <xdr:row>11</xdr:row>
      <xdr:rowOff>3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2501A5BB-6F42-0AAD-18DD-E71F5A864F0E}"/>
            </a:ext>
          </a:extLst>
        </xdr:cNvPr>
        <xdr:cNvCxnSpPr/>
      </xdr:nvCxnSpPr>
      <xdr:spPr>
        <a:xfrm>
          <a:off x="1977038" y="5976471"/>
          <a:ext cx="1878320" cy="3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415421</xdr:colOff>
      <xdr:row>10</xdr:row>
      <xdr:rowOff>225514</xdr:rowOff>
    </xdr:from>
    <xdr:to>
      <xdr:col>11</xdr:col>
      <xdr:colOff>412453</xdr:colOff>
      <xdr:row>11</xdr:row>
      <xdr:rowOff>2967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E7B7802-BA83-4EFF-8E6F-9EF127704CF2}"/>
            </a:ext>
          </a:extLst>
        </xdr:cNvPr>
        <xdr:cNvCxnSpPr/>
      </xdr:nvCxnSpPr>
      <xdr:spPr>
        <a:xfrm flipH="1" flipV="1">
          <a:off x="3860444" y="5949416"/>
          <a:ext cx="1694322" cy="5934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57727</xdr:colOff>
      <xdr:row>11</xdr:row>
      <xdr:rowOff>45357</xdr:rowOff>
    </xdr:from>
    <xdr:to>
      <xdr:col>9</xdr:col>
      <xdr:colOff>177304</xdr:colOff>
      <xdr:row>12</xdr:row>
      <xdr:rowOff>131948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75FDB8EC-DD9B-6948-2819-F04CD47C0036}"/>
            </a:ext>
          </a:extLst>
        </xdr:cNvPr>
        <xdr:cNvSpPr txBox="1"/>
      </xdr:nvSpPr>
      <xdr:spPr>
        <a:xfrm>
          <a:off x="3500746" y="5958279"/>
          <a:ext cx="968993" cy="31337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影響度（</a:t>
          </a:r>
          <a:r>
            <a:rPr kumimoji="1" lang="en-US" altLang="ja-JP" sz="1100"/>
            <a:t>I</a:t>
          </a:r>
          <a:r>
            <a:rPr kumimoji="1" lang="ja-JP" altLang="en-US" sz="1100"/>
            <a:t>）</a:t>
          </a:r>
        </a:p>
      </xdr:txBody>
    </xdr:sp>
    <xdr:clientData/>
  </xdr:twoCellAnchor>
  <xdr:twoCellAnchor>
    <xdr:from>
      <xdr:col>6</xdr:col>
      <xdr:colOff>37110</xdr:colOff>
      <xdr:row>1</xdr:row>
      <xdr:rowOff>94838</xdr:rowOff>
    </xdr:from>
    <xdr:to>
      <xdr:col>8</xdr:col>
      <xdr:colOff>156688</xdr:colOff>
      <xdr:row>2</xdr:row>
      <xdr:rowOff>181429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B62B7FC4-389E-4EFB-B4C0-C238728EF06F}"/>
            </a:ext>
          </a:extLst>
        </xdr:cNvPr>
        <xdr:cNvSpPr txBox="1"/>
      </xdr:nvSpPr>
      <xdr:spPr>
        <a:xfrm>
          <a:off x="3055422" y="3723409"/>
          <a:ext cx="968993" cy="31337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/>
            <a:t>E</a:t>
          </a:r>
          <a:r>
            <a:rPr kumimoji="1" lang="ja-JP" altLang="en-US" sz="1400"/>
            <a:t> </a:t>
          </a:r>
          <a:r>
            <a:rPr kumimoji="1" lang="en-US" altLang="ja-JP" sz="1400"/>
            <a:t>=</a:t>
          </a:r>
          <a:r>
            <a:rPr kumimoji="1" lang="ja-JP" altLang="en-US" sz="1400"/>
            <a:t> </a:t>
          </a:r>
          <a:r>
            <a:rPr kumimoji="1" lang="en-US" altLang="ja-JP" sz="1400"/>
            <a:t>P</a:t>
          </a:r>
          <a:r>
            <a:rPr kumimoji="1" lang="ja-JP" altLang="en-US" sz="1400"/>
            <a:t> </a:t>
          </a:r>
          <a:r>
            <a:rPr kumimoji="1" lang="en-US" altLang="ja-JP" sz="1400"/>
            <a:t>x</a:t>
          </a:r>
          <a:r>
            <a:rPr kumimoji="1" lang="ja-JP" altLang="en-US" sz="1400" baseline="0"/>
            <a:t> </a:t>
          </a:r>
          <a:r>
            <a:rPr kumimoji="1" lang="en-US" altLang="ja-JP" sz="1400"/>
            <a:t>I</a:t>
          </a:r>
          <a:endParaRPr kumimoji="1" lang="ja-JP" altLang="en-US" sz="1400"/>
        </a:p>
      </xdr:txBody>
    </xdr:sp>
    <xdr:clientData/>
  </xdr:twoCellAnchor>
  <xdr:twoCellAnchor>
    <xdr:from>
      <xdr:col>1</xdr:col>
      <xdr:colOff>6480</xdr:colOff>
      <xdr:row>11</xdr:row>
      <xdr:rowOff>220306</xdr:rowOff>
    </xdr:from>
    <xdr:to>
      <xdr:col>3</xdr:col>
      <xdr:colOff>142551</xdr:colOff>
      <xdr:row>14</xdr:row>
      <xdr:rowOff>123112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E62C86FD-BB0F-F362-9328-CA5FAC1AF039}"/>
            </a:ext>
          </a:extLst>
        </xdr:cNvPr>
        <xdr:cNvSpPr/>
      </xdr:nvSpPr>
      <xdr:spPr>
        <a:xfrm>
          <a:off x="667398" y="2727908"/>
          <a:ext cx="1224643" cy="583163"/>
        </a:xfrm>
        <a:prstGeom prst="rect">
          <a:avLst/>
        </a:prstGeom>
        <a:solidFill>
          <a:srgbClr val="F9B7FB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solidFill>
                <a:sysClr val="windowText" lastClr="000000"/>
              </a:solidFill>
            </a:rPr>
            <a:t>優先度高く</a:t>
          </a:r>
          <a:endParaRPr kumimoji="1" lang="en-US" altLang="ja-JP" sz="1100" b="1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 b="1">
              <a:solidFill>
                <a:sysClr val="windowText" lastClr="000000"/>
              </a:solidFill>
            </a:rPr>
            <a:t>積極的な対応要</a:t>
          </a:r>
        </a:p>
      </xdr:txBody>
    </xdr:sp>
    <xdr:clientData/>
  </xdr:twoCellAnchor>
  <xdr:twoCellAnchor>
    <xdr:from>
      <xdr:col>4</xdr:col>
      <xdr:colOff>12959</xdr:colOff>
      <xdr:row>11</xdr:row>
      <xdr:rowOff>220305</xdr:rowOff>
    </xdr:from>
    <xdr:to>
      <xdr:col>7</xdr:col>
      <xdr:colOff>38878</xdr:colOff>
      <xdr:row>14</xdr:row>
      <xdr:rowOff>123111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0ED8366A-D677-4C4A-8D75-0FA4B76453DA}"/>
            </a:ext>
          </a:extLst>
        </xdr:cNvPr>
        <xdr:cNvSpPr/>
      </xdr:nvSpPr>
      <xdr:spPr>
        <a:xfrm>
          <a:off x="2190102" y="2727907"/>
          <a:ext cx="1308878" cy="583163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solidFill>
                <a:sysClr val="windowText" lastClr="000000"/>
              </a:solidFill>
            </a:rPr>
            <a:t>優先度低く</a:t>
          </a:r>
          <a:endParaRPr kumimoji="1" lang="en-US" altLang="ja-JP" sz="1100" b="1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 b="1">
              <a:solidFill>
                <a:sysClr val="windowText" lastClr="000000"/>
              </a:solidFill>
            </a:rPr>
            <a:t>監視リスト入れる</a:t>
          </a:r>
        </a:p>
      </xdr:txBody>
    </xdr:sp>
    <xdr:clientData/>
  </xdr:twoCellAnchor>
  <xdr:twoCellAnchor>
    <xdr:from>
      <xdr:col>1</xdr:col>
      <xdr:colOff>618801</xdr:colOff>
      <xdr:row>4</xdr:row>
      <xdr:rowOff>187907</xdr:rowOff>
    </xdr:from>
    <xdr:to>
      <xdr:col>6</xdr:col>
      <xdr:colOff>200869</xdr:colOff>
      <xdr:row>11</xdr:row>
      <xdr:rowOff>220307</xdr:rowOff>
    </xdr:to>
    <xdr:cxnSp macro="">
      <xdr:nvCxnSpPr>
        <xdr:cNvPr id="17" name="コネクタ: 曲線 16">
          <a:extLst>
            <a:ext uri="{FF2B5EF4-FFF2-40B4-BE49-F238E27FC236}">
              <a16:creationId xmlns:a16="http://schemas.microsoft.com/office/drawing/2014/main" id="{874B9651-6ADC-ED5F-1F41-353A20E240AF}"/>
            </a:ext>
          </a:extLst>
        </xdr:cNvPr>
        <xdr:cNvCxnSpPr>
          <a:stCxn id="13" idx="0"/>
        </xdr:cNvCxnSpPr>
      </xdr:nvCxnSpPr>
      <xdr:spPr>
        <a:xfrm rot="5400000" flipH="1" flipV="1">
          <a:off x="1443329" y="937919"/>
          <a:ext cx="1626380" cy="1953599"/>
        </a:xfrm>
        <a:prstGeom prst="curvedConnector2">
          <a:avLst/>
        </a:prstGeom>
        <a:ln w="127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6480</xdr:colOff>
      <xdr:row>8</xdr:row>
      <xdr:rowOff>220306</xdr:rowOff>
    </xdr:from>
    <xdr:to>
      <xdr:col>5</xdr:col>
      <xdr:colOff>239745</xdr:colOff>
      <xdr:row>11</xdr:row>
      <xdr:rowOff>220305</xdr:rowOff>
    </xdr:to>
    <xdr:cxnSp macro="">
      <xdr:nvCxnSpPr>
        <xdr:cNvPr id="21" name="直線矢印コネクタ 20">
          <a:extLst>
            <a:ext uri="{FF2B5EF4-FFF2-40B4-BE49-F238E27FC236}">
              <a16:creationId xmlns:a16="http://schemas.microsoft.com/office/drawing/2014/main" id="{26FFBDFC-AD73-EEEA-4633-4EA0DFEEF967}"/>
            </a:ext>
          </a:extLst>
        </xdr:cNvPr>
        <xdr:cNvCxnSpPr>
          <a:stCxn id="15" idx="0"/>
        </xdr:cNvCxnSpPr>
      </xdr:nvCxnSpPr>
      <xdr:spPr>
        <a:xfrm flipH="1" flipV="1">
          <a:off x="2611276" y="2041071"/>
          <a:ext cx="233265" cy="686836"/>
        </a:xfrm>
        <a:prstGeom prst="straightConnector1">
          <a:avLst/>
        </a:prstGeom>
        <a:ln w="12700">
          <a:solidFill>
            <a:schemeClr val="accent1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7800-CC13-4A16-990F-CCE2A9CAEB39}">
  <dimension ref="A1:M26"/>
  <sheetViews>
    <sheetView tabSelected="1" zoomScale="47" zoomScaleNormal="90" workbookViewId="0">
      <selection activeCell="G33" sqref="G33"/>
    </sheetView>
  </sheetViews>
  <sheetFormatPr defaultRowHeight="18" x14ac:dyDescent="0.55000000000000004"/>
  <cols>
    <col min="1" max="1" width="11.25" bestFit="1" customWidth="1"/>
    <col min="2" max="3" width="12" bestFit="1" customWidth="1"/>
  </cols>
  <sheetData>
    <row r="1" spans="1:13" ht="18.5" thickBot="1" x14ac:dyDescent="0.6"/>
    <row r="2" spans="1:13" x14ac:dyDescent="0.55000000000000004">
      <c r="A2" s="44" t="s">
        <v>21</v>
      </c>
      <c r="B2" s="34"/>
      <c r="C2" s="34"/>
      <c r="D2" s="35"/>
      <c r="E2" s="39" t="s">
        <v>24</v>
      </c>
      <c r="F2" s="33"/>
      <c r="G2" s="34"/>
      <c r="H2" s="34"/>
      <c r="I2" s="33" t="s">
        <v>27</v>
      </c>
      <c r="J2" s="33"/>
      <c r="K2" s="34"/>
      <c r="L2" s="34"/>
      <c r="M2" s="35"/>
    </row>
    <row r="3" spans="1:13" x14ac:dyDescent="0.55000000000000004">
      <c r="A3" s="45" t="s">
        <v>22</v>
      </c>
      <c r="B3" s="43"/>
      <c r="C3" s="43"/>
      <c r="D3" s="46"/>
      <c r="E3" s="40" t="s">
        <v>25</v>
      </c>
      <c r="F3" s="30"/>
      <c r="G3" s="31" t="s">
        <v>26</v>
      </c>
      <c r="H3" s="31"/>
      <c r="I3" s="30" t="s">
        <v>28</v>
      </c>
      <c r="J3" s="30"/>
      <c r="K3" s="32">
        <v>62.3</v>
      </c>
      <c r="L3" s="31" t="s">
        <v>29</v>
      </c>
      <c r="M3" s="36"/>
    </row>
    <row r="4" spans="1:13" x14ac:dyDescent="0.55000000000000004">
      <c r="A4" s="45" t="s">
        <v>23</v>
      </c>
      <c r="B4" s="43"/>
      <c r="C4" s="43"/>
      <c r="D4" s="46"/>
      <c r="E4" s="41"/>
      <c r="F4" s="31"/>
      <c r="G4" s="31"/>
      <c r="H4" s="31"/>
      <c r="I4" s="31"/>
      <c r="J4" s="31"/>
      <c r="K4" s="31"/>
      <c r="L4" s="31"/>
      <c r="M4" s="36"/>
    </row>
    <row r="5" spans="1:13" ht="18.5" thickBot="1" x14ac:dyDescent="0.6">
      <c r="A5" s="47" t="s">
        <v>20</v>
      </c>
      <c r="B5" s="37"/>
      <c r="C5" s="37"/>
      <c r="D5" s="38"/>
      <c r="E5" s="42"/>
      <c r="F5" s="37"/>
      <c r="G5" s="37"/>
      <c r="H5" s="37"/>
      <c r="I5" s="37"/>
      <c r="J5" s="37"/>
      <c r="K5" s="37"/>
      <c r="L5" s="37"/>
      <c r="M5" s="38"/>
    </row>
    <row r="6" spans="1:13" ht="18.5" thickBot="1" x14ac:dyDescent="0.6">
      <c r="A6" s="48" t="s">
        <v>0</v>
      </c>
      <c r="B6" s="26" t="s">
        <v>1</v>
      </c>
      <c r="C6" s="27" t="s">
        <v>2</v>
      </c>
      <c r="D6" s="27" t="s">
        <v>3</v>
      </c>
      <c r="E6" s="27" t="s">
        <v>3</v>
      </c>
      <c r="F6" s="27" t="s">
        <v>4</v>
      </c>
      <c r="G6" s="27" t="s">
        <v>5</v>
      </c>
      <c r="H6" s="27" t="s">
        <v>6</v>
      </c>
      <c r="I6" s="27" t="s">
        <v>7</v>
      </c>
      <c r="J6" s="58" t="s">
        <v>8</v>
      </c>
      <c r="K6" s="53" t="s">
        <v>9</v>
      </c>
      <c r="L6" s="28"/>
      <c r="M6" s="29"/>
    </row>
    <row r="7" spans="1:13" ht="18.5" thickTop="1" x14ac:dyDescent="0.55000000000000004">
      <c r="A7" s="10" t="s">
        <v>10</v>
      </c>
      <c r="B7" s="18" t="s">
        <v>19</v>
      </c>
      <c r="C7" s="23" t="s">
        <v>19</v>
      </c>
      <c r="D7" s="24">
        <v>1</v>
      </c>
      <c r="E7" s="23"/>
      <c r="F7" s="6"/>
      <c r="G7" s="6"/>
      <c r="H7" s="6"/>
      <c r="I7" s="23"/>
      <c r="J7" s="25"/>
      <c r="K7" s="54"/>
      <c r="L7" s="23"/>
      <c r="M7" s="25"/>
    </row>
    <row r="8" spans="1:13" x14ac:dyDescent="0.55000000000000004">
      <c r="A8" s="49"/>
      <c r="B8" s="15"/>
      <c r="C8" s="3"/>
      <c r="D8" s="3"/>
      <c r="E8" s="3"/>
      <c r="F8" s="2"/>
      <c r="G8" s="2"/>
      <c r="H8" s="2"/>
      <c r="I8" s="3"/>
      <c r="J8" s="16"/>
      <c r="K8" s="55"/>
      <c r="L8" s="3"/>
      <c r="M8" s="16"/>
    </row>
    <row r="9" spans="1:13" x14ac:dyDescent="0.55000000000000004">
      <c r="A9" s="50" t="s">
        <v>11</v>
      </c>
      <c r="B9" s="17" t="s">
        <v>19</v>
      </c>
      <c r="C9" s="4" t="s">
        <v>19</v>
      </c>
      <c r="D9" s="5">
        <v>1</v>
      </c>
      <c r="E9" s="4"/>
      <c r="F9" s="4"/>
      <c r="G9" s="4"/>
      <c r="H9" s="4"/>
      <c r="I9" s="4"/>
      <c r="J9" s="14"/>
      <c r="K9" s="56"/>
      <c r="L9" s="4"/>
      <c r="M9" s="14"/>
    </row>
    <row r="10" spans="1:13" x14ac:dyDescent="0.55000000000000004">
      <c r="A10" s="49"/>
      <c r="B10" s="13"/>
      <c r="C10" s="3"/>
      <c r="D10" s="3"/>
      <c r="E10" s="3"/>
      <c r="F10" s="3"/>
      <c r="G10" s="3"/>
      <c r="H10" s="3"/>
      <c r="I10" s="3"/>
      <c r="J10" s="16"/>
      <c r="K10" s="55"/>
      <c r="L10" s="3"/>
      <c r="M10" s="16"/>
    </row>
    <row r="11" spans="1:13" x14ac:dyDescent="0.55000000000000004">
      <c r="A11" s="51" t="s">
        <v>12</v>
      </c>
      <c r="B11" s="17" t="s">
        <v>19</v>
      </c>
      <c r="C11" s="4" t="s">
        <v>19</v>
      </c>
      <c r="D11" s="5">
        <v>1</v>
      </c>
      <c r="E11" s="4"/>
      <c r="F11" s="4"/>
      <c r="G11" s="4"/>
      <c r="H11" s="4"/>
      <c r="I11" s="4"/>
      <c r="J11" s="14"/>
      <c r="K11" s="56"/>
      <c r="L11" s="4"/>
      <c r="M11" s="14"/>
    </row>
    <row r="12" spans="1:13" x14ac:dyDescent="0.55000000000000004">
      <c r="A12" s="52"/>
      <c r="B12" s="13"/>
      <c r="C12" s="3"/>
      <c r="D12" s="3"/>
      <c r="E12" s="3"/>
      <c r="F12" s="3"/>
      <c r="G12" s="3"/>
      <c r="H12" s="3"/>
      <c r="I12" s="3"/>
      <c r="J12" s="16"/>
      <c r="K12" s="55"/>
      <c r="L12" s="3"/>
      <c r="M12" s="16"/>
    </row>
    <row r="13" spans="1:13" x14ac:dyDescent="0.55000000000000004">
      <c r="A13" s="51" t="s">
        <v>13</v>
      </c>
      <c r="B13" s="17" t="s">
        <v>19</v>
      </c>
      <c r="C13" s="4" t="s">
        <v>19</v>
      </c>
      <c r="D13" s="5">
        <v>0.8</v>
      </c>
      <c r="E13" s="4"/>
      <c r="F13" s="4"/>
      <c r="G13" s="4"/>
      <c r="H13" s="4"/>
      <c r="I13" s="4"/>
      <c r="J13" s="14"/>
      <c r="K13" s="56"/>
      <c r="L13" s="4"/>
      <c r="M13" s="14"/>
    </row>
    <row r="14" spans="1:13" x14ac:dyDescent="0.55000000000000004">
      <c r="A14" s="52"/>
      <c r="B14" s="13"/>
      <c r="C14" s="3"/>
      <c r="D14" s="3"/>
      <c r="E14" s="3"/>
      <c r="F14" s="3"/>
      <c r="G14" s="3"/>
      <c r="H14" s="3"/>
      <c r="I14" s="3"/>
      <c r="J14" s="16"/>
      <c r="K14" s="55"/>
      <c r="L14" s="3"/>
      <c r="M14" s="16"/>
    </row>
    <row r="15" spans="1:13" x14ac:dyDescent="0.55000000000000004">
      <c r="A15" s="51" t="s">
        <v>14</v>
      </c>
      <c r="B15" s="17" t="s">
        <v>19</v>
      </c>
      <c r="C15" s="4" t="s">
        <v>19</v>
      </c>
      <c r="D15" s="5">
        <v>0.4</v>
      </c>
      <c r="E15" s="4"/>
      <c r="F15" s="4"/>
      <c r="G15" s="4"/>
      <c r="H15" s="4"/>
      <c r="I15" s="4"/>
      <c r="J15" s="14"/>
      <c r="K15" s="56"/>
      <c r="L15" s="4"/>
      <c r="M15" s="14"/>
    </row>
    <row r="16" spans="1:13" x14ac:dyDescent="0.55000000000000004">
      <c r="A16" s="52"/>
      <c r="B16" s="13"/>
      <c r="C16" s="3"/>
      <c r="D16" s="3"/>
      <c r="E16" s="3"/>
      <c r="F16" s="3"/>
      <c r="G16" s="3"/>
      <c r="H16" s="3"/>
      <c r="I16" s="3"/>
      <c r="J16" s="16"/>
      <c r="K16" s="55"/>
      <c r="L16" s="3"/>
      <c r="M16" s="16"/>
    </row>
    <row r="17" spans="1:13" x14ac:dyDescent="0.55000000000000004">
      <c r="A17" s="51" t="s">
        <v>15</v>
      </c>
      <c r="B17" s="17"/>
      <c r="C17" s="4"/>
      <c r="D17" s="4"/>
      <c r="E17" s="4"/>
      <c r="F17" s="4"/>
      <c r="G17" s="4"/>
      <c r="H17" s="4"/>
      <c r="I17" s="4"/>
      <c r="J17" s="14"/>
      <c r="K17" s="56"/>
      <c r="L17" s="4"/>
      <c r="M17" s="14"/>
    </row>
    <row r="18" spans="1:13" x14ac:dyDescent="0.55000000000000004">
      <c r="A18" s="52"/>
      <c r="B18" s="13"/>
      <c r="C18" s="3"/>
      <c r="D18" s="3"/>
      <c r="E18" s="3"/>
      <c r="F18" s="3"/>
      <c r="G18" s="3"/>
      <c r="H18" s="3"/>
      <c r="I18" s="3"/>
      <c r="J18" s="16"/>
      <c r="K18" s="55"/>
      <c r="L18" s="3"/>
      <c r="M18" s="16"/>
    </row>
    <row r="19" spans="1:13" x14ac:dyDescent="0.55000000000000004">
      <c r="A19" s="51" t="s">
        <v>16</v>
      </c>
      <c r="B19" s="17"/>
      <c r="C19" s="4"/>
      <c r="D19" s="4"/>
      <c r="E19" s="4"/>
      <c r="F19" s="4"/>
      <c r="G19" s="4"/>
      <c r="H19" s="4"/>
      <c r="I19" s="4"/>
      <c r="J19" s="14"/>
      <c r="K19" s="56"/>
      <c r="L19" s="4"/>
      <c r="M19" s="14"/>
    </row>
    <row r="20" spans="1:13" x14ac:dyDescent="0.55000000000000004">
      <c r="A20" s="52"/>
      <c r="B20" s="13"/>
      <c r="C20" s="3"/>
      <c r="D20" s="3"/>
      <c r="E20" s="3"/>
      <c r="F20" s="3"/>
      <c r="G20" s="3"/>
      <c r="H20" s="3"/>
      <c r="I20" s="3"/>
      <c r="J20" s="16"/>
      <c r="K20" s="55"/>
      <c r="L20" s="3"/>
      <c r="M20" s="16"/>
    </row>
    <row r="21" spans="1:13" x14ac:dyDescent="0.55000000000000004">
      <c r="A21" s="51" t="s">
        <v>17</v>
      </c>
      <c r="B21" s="17"/>
      <c r="C21" s="4"/>
      <c r="D21" s="4"/>
      <c r="E21" s="4"/>
      <c r="F21" s="4"/>
      <c r="G21" s="4"/>
      <c r="H21" s="4"/>
      <c r="I21" s="4"/>
      <c r="J21" s="14"/>
      <c r="K21" s="56"/>
      <c r="L21" s="4"/>
      <c r="M21" s="14"/>
    </row>
    <row r="22" spans="1:13" x14ac:dyDescent="0.55000000000000004">
      <c r="A22" s="52"/>
      <c r="B22" s="13"/>
      <c r="C22" s="3"/>
      <c r="D22" s="3"/>
      <c r="E22" s="3"/>
      <c r="F22" s="3"/>
      <c r="G22" s="3"/>
      <c r="H22" s="3"/>
      <c r="I22" s="3"/>
      <c r="J22" s="16"/>
      <c r="K22" s="55"/>
      <c r="L22" s="3"/>
      <c r="M22" s="16"/>
    </row>
    <row r="23" spans="1:13" x14ac:dyDescent="0.55000000000000004">
      <c r="A23" s="51" t="s">
        <v>18</v>
      </c>
      <c r="B23" s="17"/>
      <c r="C23" s="4"/>
      <c r="D23" s="4"/>
      <c r="E23" s="4"/>
      <c r="F23" s="4"/>
      <c r="G23" s="4"/>
      <c r="H23" s="4"/>
      <c r="I23" s="4"/>
      <c r="J23" s="14"/>
      <c r="K23" s="56"/>
      <c r="L23" s="4"/>
      <c r="M23" s="14"/>
    </row>
    <row r="24" spans="1:13" x14ac:dyDescent="0.55000000000000004">
      <c r="A24" s="10"/>
      <c r="B24" s="18"/>
      <c r="C24" s="6"/>
      <c r="D24" s="6"/>
      <c r="E24" s="6"/>
      <c r="F24" s="6"/>
      <c r="G24" s="6"/>
      <c r="H24" s="6"/>
      <c r="I24" s="6"/>
      <c r="J24" s="19"/>
      <c r="K24" s="57"/>
      <c r="L24" s="6"/>
      <c r="M24" s="19"/>
    </row>
    <row r="25" spans="1:13" x14ac:dyDescent="0.55000000000000004">
      <c r="A25" s="20" t="s">
        <v>9</v>
      </c>
      <c r="B25" s="59"/>
      <c r="C25" s="8"/>
      <c r="D25" s="7"/>
      <c r="E25" s="8"/>
      <c r="F25" s="7"/>
      <c r="G25" s="8"/>
      <c r="H25" s="7"/>
      <c r="I25" s="8"/>
      <c r="J25" s="60"/>
      <c r="K25" s="8"/>
      <c r="L25" s="7"/>
      <c r="M25" s="21"/>
    </row>
    <row r="26" spans="1:13" ht="18.5" thickBot="1" x14ac:dyDescent="0.6">
      <c r="A26" s="9"/>
      <c r="B26" s="61"/>
      <c r="C26" s="11"/>
      <c r="D26" s="22"/>
      <c r="E26" s="11"/>
      <c r="F26" s="22"/>
      <c r="G26" s="11"/>
      <c r="H26" s="22"/>
      <c r="I26" s="11"/>
      <c r="J26" s="62"/>
      <c r="K26" s="11"/>
      <c r="L26" s="22"/>
      <c r="M26" s="12"/>
    </row>
  </sheetData>
  <mergeCells count="14">
    <mergeCell ref="B2:D2"/>
    <mergeCell ref="E2:F2"/>
    <mergeCell ref="E3:F3"/>
    <mergeCell ref="E4:M5"/>
    <mergeCell ref="G2:H2"/>
    <mergeCell ref="K2:M2"/>
    <mergeCell ref="G3:H3"/>
    <mergeCell ref="I3:J3"/>
    <mergeCell ref="I2:J2"/>
    <mergeCell ref="L3:M3"/>
    <mergeCell ref="K6:M6"/>
    <mergeCell ref="B5:D5"/>
    <mergeCell ref="A4:D4"/>
    <mergeCell ref="A3:D3"/>
  </mergeCells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D410A-1050-466C-A52E-EBD7DBA5F117}">
  <dimension ref="A3:L12"/>
  <sheetViews>
    <sheetView zoomScale="98" workbookViewId="0">
      <selection activeCell="J16" sqref="J16"/>
    </sheetView>
  </sheetViews>
  <sheetFormatPr defaultRowHeight="18" x14ac:dyDescent="0.55000000000000004"/>
  <cols>
    <col min="3" max="12" width="5.58203125" customWidth="1"/>
  </cols>
  <sheetData>
    <row r="3" spans="1:12" ht="18.5" thickBot="1" x14ac:dyDescent="0.6"/>
    <row r="4" spans="1:12" x14ac:dyDescent="0.55000000000000004">
      <c r="A4" s="1" t="s">
        <v>33</v>
      </c>
      <c r="B4" s="68" t="s">
        <v>30</v>
      </c>
      <c r="C4" s="69" t="s">
        <v>32</v>
      </c>
      <c r="D4" s="69"/>
      <c r="E4" s="69"/>
      <c r="F4" s="69"/>
      <c r="G4" s="69"/>
      <c r="H4" s="69" t="s">
        <v>31</v>
      </c>
      <c r="I4" s="69"/>
      <c r="J4" s="69"/>
      <c r="K4" s="69"/>
      <c r="L4" s="70"/>
    </row>
    <row r="5" spans="1:12" x14ac:dyDescent="0.55000000000000004">
      <c r="B5" s="71">
        <v>0.9</v>
      </c>
      <c r="C5" s="67">
        <v>0.05</v>
      </c>
      <c r="D5" s="32">
        <v>0.09</v>
      </c>
      <c r="E5" s="65">
        <v>0.18</v>
      </c>
      <c r="F5" s="65">
        <v>0.36</v>
      </c>
      <c r="G5" s="65">
        <v>0.72</v>
      </c>
      <c r="H5" s="65">
        <v>0.72</v>
      </c>
      <c r="I5" s="65">
        <v>0.36</v>
      </c>
      <c r="J5" s="65">
        <v>0.18</v>
      </c>
      <c r="K5" s="32">
        <v>0.09</v>
      </c>
      <c r="L5" s="72">
        <v>0.05</v>
      </c>
    </row>
    <row r="6" spans="1:12" x14ac:dyDescent="0.55000000000000004">
      <c r="B6" s="71">
        <v>0.7</v>
      </c>
      <c r="C6" s="67">
        <v>0.04</v>
      </c>
      <c r="D6" s="32">
        <v>7.0000000000000007E-2</v>
      </c>
      <c r="E6" s="32">
        <v>0.14000000000000001</v>
      </c>
      <c r="F6" s="65">
        <v>0.28000000000000003</v>
      </c>
      <c r="G6" s="65">
        <v>0.56000000000000005</v>
      </c>
      <c r="H6" s="65">
        <v>0.56000000000000005</v>
      </c>
      <c r="I6" s="65">
        <v>0.28000000000000003</v>
      </c>
      <c r="J6" s="32">
        <v>0.14000000000000001</v>
      </c>
      <c r="K6" s="32">
        <v>7.0000000000000007E-2</v>
      </c>
      <c r="L6" s="72">
        <v>0.04</v>
      </c>
    </row>
    <row r="7" spans="1:12" x14ac:dyDescent="0.55000000000000004">
      <c r="B7" s="71">
        <v>0.5</v>
      </c>
      <c r="C7" s="67">
        <v>0.03</v>
      </c>
      <c r="D7" s="67">
        <v>0.05</v>
      </c>
      <c r="E7" s="64">
        <v>0.1</v>
      </c>
      <c r="F7" s="66">
        <v>0.2</v>
      </c>
      <c r="G7" s="66">
        <v>0.4</v>
      </c>
      <c r="H7" s="66">
        <v>0.4</v>
      </c>
      <c r="I7" s="66">
        <v>0.2</v>
      </c>
      <c r="J7" s="64">
        <v>0.1</v>
      </c>
      <c r="K7" s="67">
        <v>0.05</v>
      </c>
      <c r="L7" s="72">
        <v>0.03</v>
      </c>
    </row>
    <row r="8" spans="1:12" x14ac:dyDescent="0.55000000000000004">
      <c r="B8" s="71">
        <v>0.3</v>
      </c>
      <c r="C8" s="67">
        <v>0.02</v>
      </c>
      <c r="D8" s="67">
        <v>0.03</v>
      </c>
      <c r="E8" s="32">
        <v>0.06</v>
      </c>
      <c r="F8" s="32">
        <v>0.12</v>
      </c>
      <c r="G8" s="65">
        <v>0.24</v>
      </c>
      <c r="H8" s="65">
        <v>0.24</v>
      </c>
      <c r="I8" s="32">
        <v>0.12</v>
      </c>
      <c r="J8" s="32">
        <v>0.06</v>
      </c>
      <c r="K8" s="67">
        <v>0.03</v>
      </c>
      <c r="L8" s="72">
        <v>0.02</v>
      </c>
    </row>
    <row r="9" spans="1:12" x14ac:dyDescent="0.55000000000000004">
      <c r="B9" s="71">
        <v>0.1</v>
      </c>
      <c r="C9" s="67">
        <v>0.01</v>
      </c>
      <c r="D9" s="67">
        <v>0.01</v>
      </c>
      <c r="E9" s="67">
        <v>0.02</v>
      </c>
      <c r="F9" s="67">
        <v>0.04</v>
      </c>
      <c r="G9" s="32">
        <v>0.08</v>
      </c>
      <c r="H9" s="32">
        <v>0.08</v>
      </c>
      <c r="I9" s="67">
        <v>0.04</v>
      </c>
      <c r="J9" s="67">
        <v>0.02</v>
      </c>
      <c r="K9" s="67">
        <v>0.01</v>
      </c>
      <c r="L9" s="72">
        <v>0.01</v>
      </c>
    </row>
    <row r="10" spans="1:12" ht="18.5" thickBot="1" x14ac:dyDescent="0.6">
      <c r="B10" s="73"/>
      <c r="C10" s="74">
        <v>0.05</v>
      </c>
      <c r="D10" s="75">
        <v>0.1</v>
      </c>
      <c r="E10" s="75">
        <v>0.2</v>
      </c>
      <c r="F10" s="75">
        <v>0.4</v>
      </c>
      <c r="G10" s="75">
        <v>0.8</v>
      </c>
      <c r="H10" s="75">
        <v>0.8</v>
      </c>
      <c r="I10" s="75">
        <v>0.4</v>
      </c>
      <c r="J10" s="75">
        <v>0.2</v>
      </c>
      <c r="K10" s="75">
        <v>0.1</v>
      </c>
      <c r="L10" s="76">
        <v>0.05</v>
      </c>
    </row>
    <row r="11" spans="1:12" x14ac:dyDescent="0.55000000000000004">
      <c r="B11" s="63"/>
    </row>
    <row r="12" spans="1:12" x14ac:dyDescent="0.55000000000000004">
      <c r="B12" s="63"/>
    </row>
  </sheetData>
  <mergeCells count="2">
    <mergeCell ref="H4:L4"/>
    <mergeCell ref="C4:G4"/>
  </mergeCells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1BD2-153E-4295-80BD-AA7707B95F92}">
  <sheetPr>
    <pageSetUpPr fitToPage="1"/>
  </sheetPr>
  <dimension ref="B1:CS29"/>
  <sheetViews>
    <sheetView showGridLines="0" zoomScale="75" zoomScaleNormal="70" workbookViewId="0">
      <selection activeCell="B29" sqref="B29"/>
    </sheetView>
  </sheetViews>
  <sheetFormatPr defaultColWidth="2.83203125" defaultRowHeight="17.5" x14ac:dyDescent="0.55000000000000004"/>
  <cols>
    <col min="1" max="1" width="1.83203125" style="86" customWidth="1"/>
    <col min="2" max="2" width="36.4140625" style="112" bestFit="1" customWidth="1"/>
    <col min="3" max="4" width="8.75" style="86" customWidth="1"/>
    <col min="5" max="5" width="11.4140625" style="86" bestFit="1" customWidth="1"/>
    <col min="6" max="6" width="11.33203125" style="86" customWidth="1"/>
    <col min="7" max="36" width="3.75" style="84" customWidth="1"/>
    <col min="37" max="37" width="2.9140625" style="84" bestFit="1" customWidth="1"/>
    <col min="38" max="45" width="2.9140625" style="86" bestFit="1" customWidth="1"/>
    <col min="46" max="66" width="3.5" style="86" bestFit="1" customWidth="1"/>
    <col min="67" max="75" width="2.9140625" style="86" bestFit="1" customWidth="1"/>
    <col min="76" max="88" width="3.5" style="86" bestFit="1" customWidth="1"/>
    <col min="89" max="89" width="2.83203125" style="86" customWidth="1"/>
    <col min="90" max="16384" width="2.83203125" style="86"/>
  </cols>
  <sheetData>
    <row r="1" spans="2:97" ht="18" customHeight="1" x14ac:dyDescent="0.55000000000000004">
      <c r="B1" s="83" t="s">
        <v>54</v>
      </c>
      <c r="C1" s="83"/>
      <c r="D1" s="83"/>
      <c r="E1" s="84" t="s">
        <v>55</v>
      </c>
      <c r="F1" s="85">
        <v>46236</v>
      </c>
    </row>
    <row r="2" spans="2:97" ht="18" customHeight="1" x14ac:dyDescent="0.55000000000000004">
      <c r="B2" s="87"/>
      <c r="C2" s="87"/>
      <c r="D2" s="87"/>
      <c r="E2" s="88" t="s">
        <v>56</v>
      </c>
      <c r="F2" s="89">
        <v>46332</v>
      </c>
    </row>
    <row r="3" spans="2:97" x14ac:dyDescent="0.55000000000000004">
      <c r="B3" s="84"/>
    </row>
    <row r="4" spans="2:97" x14ac:dyDescent="0.55000000000000004">
      <c r="B4" s="90" t="s">
        <v>57</v>
      </c>
      <c r="C4" s="90" t="s">
        <v>58</v>
      </c>
      <c r="D4" s="91" t="s">
        <v>59</v>
      </c>
      <c r="E4" s="90" t="s">
        <v>55</v>
      </c>
      <c r="F4" s="92" t="s">
        <v>60</v>
      </c>
      <c r="G4" s="93">
        <f>G5</f>
        <v>46236</v>
      </c>
      <c r="H4" s="94"/>
      <c r="I4" s="94"/>
      <c r="J4" s="94"/>
      <c r="K4" s="94"/>
      <c r="L4" s="94"/>
      <c r="M4" s="95"/>
      <c r="N4" s="93">
        <f t="shared" ref="N4" si="0">N5</f>
        <v>46243</v>
      </c>
      <c r="O4" s="94"/>
      <c r="P4" s="94"/>
      <c r="Q4" s="94"/>
      <c r="R4" s="94"/>
      <c r="S4" s="94"/>
      <c r="T4" s="95"/>
      <c r="U4" s="93">
        <f t="shared" ref="U4" si="1">U5</f>
        <v>46250</v>
      </c>
      <c r="V4" s="94"/>
      <c r="W4" s="94"/>
      <c r="X4" s="94"/>
      <c r="Y4" s="94"/>
      <c r="Z4" s="94"/>
      <c r="AA4" s="95"/>
      <c r="AB4" s="93">
        <f t="shared" ref="AB4" si="2">AB5</f>
        <v>46257</v>
      </c>
      <c r="AC4" s="94"/>
      <c r="AD4" s="94"/>
      <c r="AE4" s="94"/>
      <c r="AF4" s="94"/>
      <c r="AG4" s="94"/>
      <c r="AH4" s="94"/>
      <c r="AI4" s="93">
        <f t="shared" ref="AI4" si="3">AI5</f>
        <v>46264</v>
      </c>
      <c r="AJ4" s="94"/>
      <c r="AK4" s="94"/>
      <c r="AL4" s="94"/>
      <c r="AM4" s="94"/>
      <c r="AN4" s="94"/>
      <c r="AO4" s="94"/>
      <c r="AP4" s="93">
        <f t="shared" ref="AP4" si="4">AP5</f>
        <v>46271</v>
      </c>
      <c r="AQ4" s="94"/>
      <c r="AR4" s="94"/>
      <c r="AS4" s="94"/>
      <c r="AT4" s="94"/>
      <c r="AU4" s="94"/>
      <c r="AV4" s="94"/>
      <c r="AW4" s="93">
        <f t="shared" ref="AW4" si="5">AW5</f>
        <v>46278</v>
      </c>
      <c r="AX4" s="94"/>
      <c r="AY4" s="94"/>
      <c r="AZ4" s="94"/>
      <c r="BA4" s="94"/>
      <c r="BB4" s="94"/>
      <c r="BC4" s="94"/>
      <c r="BD4" s="93">
        <f t="shared" ref="BD4" si="6">BD5</f>
        <v>46285</v>
      </c>
      <c r="BE4" s="94"/>
      <c r="BF4" s="94"/>
      <c r="BG4" s="94"/>
      <c r="BH4" s="94"/>
      <c r="BI4" s="94"/>
      <c r="BJ4" s="94"/>
      <c r="BK4" s="93">
        <f t="shared" ref="BK4" si="7">BK5</f>
        <v>46292</v>
      </c>
      <c r="BL4" s="94"/>
      <c r="BM4" s="94"/>
      <c r="BN4" s="94"/>
      <c r="BO4" s="94"/>
      <c r="BP4" s="94"/>
      <c r="BQ4" s="94"/>
      <c r="BR4" s="93">
        <f t="shared" ref="BR4" si="8">BR5</f>
        <v>46299</v>
      </c>
      <c r="BS4" s="94"/>
      <c r="BT4" s="94"/>
      <c r="BU4" s="94"/>
      <c r="BV4" s="94"/>
      <c r="BW4" s="94"/>
      <c r="BX4" s="94"/>
      <c r="BY4" s="93">
        <f t="shared" ref="BY4" si="9">BY5</f>
        <v>46306</v>
      </c>
      <c r="BZ4" s="94"/>
      <c r="CA4" s="94"/>
      <c r="CB4" s="94"/>
      <c r="CC4" s="94"/>
      <c r="CD4" s="94"/>
      <c r="CE4" s="94"/>
      <c r="CF4" s="93">
        <f t="shared" ref="CF4" si="10">CF5</f>
        <v>46313</v>
      </c>
      <c r="CG4" s="94"/>
      <c r="CH4" s="94"/>
      <c r="CI4" s="94"/>
      <c r="CJ4" s="94"/>
      <c r="CK4" s="94"/>
      <c r="CL4" s="94"/>
      <c r="CM4" s="93">
        <f t="shared" ref="CM4" si="11">CM5</f>
        <v>46320</v>
      </c>
      <c r="CN4" s="94"/>
      <c r="CO4" s="94"/>
      <c r="CP4" s="94"/>
      <c r="CQ4" s="94"/>
      <c r="CR4" s="94"/>
      <c r="CS4" s="94"/>
    </row>
    <row r="5" spans="2:97" x14ac:dyDescent="0.55000000000000004">
      <c r="B5" s="90"/>
      <c r="C5" s="90"/>
      <c r="D5" s="96"/>
      <c r="E5" s="90"/>
      <c r="F5" s="90"/>
      <c r="G5" s="97">
        <f>F1</f>
        <v>46236</v>
      </c>
      <c r="H5" s="97">
        <f>G5+1</f>
        <v>46237</v>
      </c>
      <c r="I5" s="97">
        <f t="shared" ref="I5:BT5" si="12">H5+1</f>
        <v>46238</v>
      </c>
      <c r="J5" s="97">
        <f t="shared" si="12"/>
        <v>46239</v>
      </c>
      <c r="K5" s="97">
        <f t="shared" si="12"/>
        <v>46240</v>
      </c>
      <c r="L5" s="97">
        <f t="shared" si="12"/>
        <v>46241</v>
      </c>
      <c r="M5" s="97">
        <f t="shared" si="12"/>
        <v>46242</v>
      </c>
      <c r="N5" s="97">
        <f t="shared" si="12"/>
        <v>46243</v>
      </c>
      <c r="O5" s="97">
        <f t="shared" si="12"/>
        <v>46244</v>
      </c>
      <c r="P5" s="97">
        <f t="shared" si="12"/>
        <v>46245</v>
      </c>
      <c r="Q5" s="97">
        <f t="shared" si="12"/>
        <v>46246</v>
      </c>
      <c r="R5" s="97">
        <f t="shared" si="12"/>
        <v>46247</v>
      </c>
      <c r="S5" s="97">
        <f t="shared" si="12"/>
        <v>46248</v>
      </c>
      <c r="T5" s="97">
        <f t="shared" si="12"/>
        <v>46249</v>
      </c>
      <c r="U5" s="97">
        <f t="shared" si="12"/>
        <v>46250</v>
      </c>
      <c r="V5" s="97">
        <f t="shared" si="12"/>
        <v>46251</v>
      </c>
      <c r="W5" s="97">
        <f t="shared" si="12"/>
        <v>46252</v>
      </c>
      <c r="X5" s="97">
        <f t="shared" si="12"/>
        <v>46253</v>
      </c>
      <c r="Y5" s="97">
        <f t="shared" si="12"/>
        <v>46254</v>
      </c>
      <c r="Z5" s="97">
        <f t="shared" si="12"/>
        <v>46255</v>
      </c>
      <c r="AA5" s="97">
        <f t="shared" si="12"/>
        <v>46256</v>
      </c>
      <c r="AB5" s="97">
        <f t="shared" si="12"/>
        <v>46257</v>
      </c>
      <c r="AC5" s="97">
        <f t="shared" si="12"/>
        <v>46258</v>
      </c>
      <c r="AD5" s="97">
        <f t="shared" si="12"/>
        <v>46259</v>
      </c>
      <c r="AE5" s="97">
        <f t="shared" si="12"/>
        <v>46260</v>
      </c>
      <c r="AF5" s="97">
        <f t="shared" si="12"/>
        <v>46261</v>
      </c>
      <c r="AG5" s="97">
        <f t="shared" si="12"/>
        <v>46262</v>
      </c>
      <c r="AH5" s="97">
        <f t="shared" si="12"/>
        <v>46263</v>
      </c>
      <c r="AI5" s="97">
        <f t="shared" si="12"/>
        <v>46264</v>
      </c>
      <c r="AJ5" s="97">
        <f t="shared" si="12"/>
        <v>46265</v>
      </c>
      <c r="AK5" s="97">
        <f t="shared" si="12"/>
        <v>46266</v>
      </c>
      <c r="AL5" s="97">
        <f t="shared" si="12"/>
        <v>46267</v>
      </c>
      <c r="AM5" s="97">
        <f t="shared" si="12"/>
        <v>46268</v>
      </c>
      <c r="AN5" s="97">
        <f t="shared" si="12"/>
        <v>46269</v>
      </c>
      <c r="AO5" s="97">
        <f t="shared" si="12"/>
        <v>46270</v>
      </c>
      <c r="AP5" s="97">
        <f t="shared" si="12"/>
        <v>46271</v>
      </c>
      <c r="AQ5" s="97">
        <f t="shared" si="12"/>
        <v>46272</v>
      </c>
      <c r="AR5" s="97">
        <f t="shared" si="12"/>
        <v>46273</v>
      </c>
      <c r="AS5" s="97">
        <f t="shared" si="12"/>
        <v>46274</v>
      </c>
      <c r="AT5" s="97">
        <f t="shared" si="12"/>
        <v>46275</v>
      </c>
      <c r="AU5" s="97">
        <f t="shared" si="12"/>
        <v>46276</v>
      </c>
      <c r="AV5" s="97">
        <f t="shared" si="12"/>
        <v>46277</v>
      </c>
      <c r="AW5" s="97">
        <f t="shared" si="12"/>
        <v>46278</v>
      </c>
      <c r="AX5" s="97">
        <f t="shared" si="12"/>
        <v>46279</v>
      </c>
      <c r="AY5" s="97">
        <f t="shared" si="12"/>
        <v>46280</v>
      </c>
      <c r="AZ5" s="97">
        <f t="shared" si="12"/>
        <v>46281</v>
      </c>
      <c r="BA5" s="97">
        <f t="shared" si="12"/>
        <v>46282</v>
      </c>
      <c r="BB5" s="97">
        <f t="shared" si="12"/>
        <v>46283</v>
      </c>
      <c r="BC5" s="97">
        <f t="shared" si="12"/>
        <v>46284</v>
      </c>
      <c r="BD5" s="97">
        <f t="shared" si="12"/>
        <v>46285</v>
      </c>
      <c r="BE5" s="97">
        <f t="shared" si="12"/>
        <v>46286</v>
      </c>
      <c r="BF5" s="97">
        <f t="shared" si="12"/>
        <v>46287</v>
      </c>
      <c r="BG5" s="97">
        <f t="shared" si="12"/>
        <v>46288</v>
      </c>
      <c r="BH5" s="97">
        <f t="shared" si="12"/>
        <v>46289</v>
      </c>
      <c r="BI5" s="97">
        <f t="shared" si="12"/>
        <v>46290</v>
      </c>
      <c r="BJ5" s="97">
        <f t="shared" si="12"/>
        <v>46291</v>
      </c>
      <c r="BK5" s="97">
        <f t="shared" si="12"/>
        <v>46292</v>
      </c>
      <c r="BL5" s="97">
        <f t="shared" si="12"/>
        <v>46293</v>
      </c>
      <c r="BM5" s="97">
        <f t="shared" si="12"/>
        <v>46294</v>
      </c>
      <c r="BN5" s="97">
        <f t="shared" si="12"/>
        <v>46295</v>
      </c>
      <c r="BO5" s="97">
        <f t="shared" si="12"/>
        <v>46296</v>
      </c>
      <c r="BP5" s="97">
        <f t="shared" si="12"/>
        <v>46297</v>
      </c>
      <c r="BQ5" s="97">
        <f t="shared" si="12"/>
        <v>46298</v>
      </c>
      <c r="BR5" s="97">
        <f t="shared" si="12"/>
        <v>46299</v>
      </c>
      <c r="BS5" s="97">
        <f t="shared" si="12"/>
        <v>46300</v>
      </c>
      <c r="BT5" s="97">
        <f t="shared" si="12"/>
        <v>46301</v>
      </c>
      <c r="BU5" s="97">
        <f t="shared" ref="BU5:CS5" si="13">BT5+1</f>
        <v>46302</v>
      </c>
      <c r="BV5" s="97">
        <f t="shared" si="13"/>
        <v>46303</v>
      </c>
      <c r="BW5" s="97">
        <f t="shared" si="13"/>
        <v>46304</v>
      </c>
      <c r="BX5" s="97">
        <f t="shared" si="13"/>
        <v>46305</v>
      </c>
      <c r="BY5" s="97">
        <f t="shared" si="13"/>
        <v>46306</v>
      </c>
      <c r="BZ5" s="97">
        <f t="shared" si="13"/>
        <v>46307</v>
      </c>
      <c r="CA5" s="97">
        <f t="shared" si="13"/>
        <v>46308</v>
      </c>
      <c r="CB5" s="97">
        <f t="shared" si="13"/>
        <v>46309</v>
      </c>
      <c r="CC5" s="97">
        <f t="shared" si="13"/>
        <v>46310</v>
      </c>
      <c r="CD5" s="97">
        <f t="shared" si="13"/>
        <v>46311</v>
      </c>
      <c r="CE5" s="97">
        <f t="shared" si="13"/>
        <v>46312</v>
      </c>
      <c r="CF5" s="97">
        <f t="shared" si="13"/>
        <v>46313</v>
      </c>
      <c r="CG5" s="97">
        <f t="shared" si="13"/>
        <v>46314</v>
      </c>
      <c r="CH5" s="97">
        <f t="shared" si="13"/>
        <v>46315</v>
      </c>
      <c r="CI5" s="97">
        <f t="shared" si="13"/>
        <v>46316</v>
      </c>
      <c r="CJ5" s="97">
        <f t="shared" si="13"/>
        <v>46317</v>
      </c>
      <c r="CK5" s="97">
        <f t="shared" si="13"/>
        <v>46318</v>
      </c>
      <c r="CL5" s="97">
        <f t="shared" si="13"/>
        <v>46319</v>
      </c>
      <c r="CM5" s="97">
        <f t="shared" si="13"/>
        <v>46320</v>
      </c>
      <c r="CN5" s="97">
        <f t="shared" si="13"/>
        <v>46321</v>
      </c>
      <c r="CO5" s="97">
        <f t="shared" si="13"/>
        <v>46322</v>
      </c>
      <c r="CP5" s="97">
        <f t="shared" si="13"/>
        <v>46323</v>
      </c>
      <c r="CQ5" s="97">
        <f t="shared" si="13"/>
        <v>46324</v>
      </c>
      <c r="CR5" s="97">
        <f t="shared" si="13"/>
        <v>46325</v>
      </c>
      <c r="CS5" s="97">
        <f t="shared" si="13"/>
        <v>46326</v>
      </c>
    </row>
    <row r="6" spans="2:97" ht="21.75" customHeight="1" x14ac:dyDescent="0.55000000000000004">
      <c r="B6" s="98" t="s">
        <v>61</v>
      </c>
      <c r="C6" s="99"/>
      <c r="D6" s="99"/>
      <c r="E6" s="100">
        <v>46236</v>
      </c>
      <c r="F6" s="101">
        <v>46240</v>
      </c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2"/>
      <c r="AR6" s="102"/>
      <c r="AS6" s="102"/>
      <c r="AT6" s="102"/>
      <c r="AU6" s="102"/>
      <c r="AV6" s="102"/>
      <c r="AW6" s="102"/>
      <c r="AX6" s="102"/>
      <c r="AY6" s="102"/>
      <c r="AZ6" s="102"/>
      <c r="BA6" s="102"/>
      <c r="BB6" s="102"/>
      <c r="BC6" s="102"/>
      <c r="BD6" s="102"/>
      <c r="BE6" s="102"/>
      <c r="BF6" s="102"/>
      <c r="BG6" s="102"/>
      <c r="BH6" s="102"/>
      <c r="BI6" s="102"/>
      <c r="BJ6" s="102"/>
      <c r="BK6" s="102"/>
      <c r="BL6" s="102"/>
      <c r="BM6" s="102"/>
      <c r="BN6" s="102"/>
      <c r="BO6" s="102"/>
      <c r="BP6" s="102"/>
      <c r="BQ6" s="102"/>
      <c r="BR6" s="102"/>
      <c r="BS6" s="102"/>
      <c r="BT6" s="102"/>
      <c r="BU6" s="102"/>
      <c r="BV6" s="102"/>
      <c r="BW6" s="102"/>
      <c r="BX6" s="102"/>
      <c r="BY6" s="102"/>
      <c r="BZ6" s="102"/>
      <c r="CA6" s="102"/>
      <c r="CB6" s="102"/>
      <c r="CC6" s="102"/>
      <c r="CD6" s="102"/>
      <c r="CE6" s="102"/>
      <c r="CF6" s="102"/>
      <c r="CG6" s="102"/>
      <c r="CH6" s="102"/>
      <c r="CI6" s="102"/>
      <c r="CJ6" s="102"/>
      <c r="CK6" s="102"/>
      <c r="CL6" s="102"/>
      <c r="CM6" s="102"/>
      <c r="CN6" s="102"/>
      <c r="CO6" s="102"/>
      <c r="CP6" s="102"/>
      <c r="CQ6" s="102"/>
      <c r="CR6" s="102"/>
      <c r="CS6" s="102"/>
    </row>
    <row r="7" spans="2:97" ht="21.75" customHeight="1" x14ac:dyDescent="0.55000000000000004">
      <c r="B7" s="103" t="s">
        <v>34</v>
      </c>
      <c r="C7" s="104"/>
      <c r="D7" s="105">
        <v>0.5</v>
      </c>
      <c r="E7" s="106">
        <v>46236</v>
      </c>
      <c r="F7" s="106">
        <v>46236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  <c r="AC7" s="102"/>
      <c r="AD7" s="102"/>
      <c r="AE7" s="102"/>
      <c r="AF7" s="102"/>
      <c r="AG7" s="102"/>
      <c r="AH7" s="102"/>
      <c r="AI7" s="102"/>
      <c r="AJ7" s="102"/>
      <c r="AK7" s="102"/>
      <c r="AL7" s="102"/>
      <c r="AM7" s="102"/>
      <c r="AN7" s="102"/>
      <c r="AO7" s="102"/>
      <c r="AP7" s="102"/>
      <c r="AQ7" s="102"/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</row>
    <row r="8" spans="2:97" ht="21.75" customHeight="1" x14ac:dyDescent="0.55000000000000004">
      <c r="B8" s="103" t="s">
        <v>35</v>
      </c>
      <c r="C8" s="104"/>
      <c r="D8" s="105">
        <v>1</v>
      </c>
      <c r="E8" s="106">
        <v>46237</v>
      </c>
      <c r="F8" s="106">
        <v>46237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2"/>
      <c r="AJ8" s="102"/>
      <c r="AK8" s="102"/>
      <c r="AL8" s="102"/>
      <c r="AM8" s="102"/>
      <c r="AN8" s="102"/>
      <c r="AO8" s="102"/>
      <c r="AP8" s="102"/>
      <c r="AQ8" s="102"/>
      <c r="AR8" s="102"/>
      <c r="AS8" s="102"/>
      <c r="AT8" s="102"/>
      <c r="AU8" s="102"/>
      <c r="AV8" s="102"/>
      <c r="AW8" s="102"/>
      <c r="AX8" s="102"/>
      <c r="AY8" s="102"/>
      <c r="AZ8" s="102"/>
      <c r="BA8" s="102"/>
      <c r="BB8" s="102"/>
      <c r="BC8" s="102"/>
      <c r="BD8" s="102"/>
      <c r="BE8" s="102"/>
      <c r="BF8" s="102"/>
      <c r="BG8" s="102"/>
      <c r="BH8" s="102"/>
      <c r="BI8" s="102"/>
      <c r="BJ8" s="102"/>
      <c r="BK8" s="102"/>
      <c r="BL8" s="102"/>
      <c r="BM8" s="102"/>
      <c r="BN8" s="102"/>
      <c r="BO8" s="102"/>
      <c r="BP8" s="102"/>
      <c r="BQ8" s="102"/>
      <c r="BR8" s="102"/>
      <c r="BS8" s="102"/>
      <c r="BT8" s="102"/>
      <c r="BU8" s="102"/>
      <c r="BV8" s="102"/>
      <c r="BW8" s="102"/>
      <c r="BX8" s="102"/>
      <c r="BY8" s="102"/>
      <c r="BZ8" s="102"/>
      <c r="CA8" s="102"/>
      <c r="CB8" s="102"/>
      <c r="CC8" s="102"/>
      <c r="CD8" s="102"/>
      <c r="CE8" s="102"/>
      <c r="CF8" s="102"/>
      <c r="CG8" s="102"/>
      <c r="CH8" s="102"/>
      <c r="CI8" s="102"/>
      <c r="CJ8" s="102"/>
      <c r="CK8" s="102"/>
      <c r="CL8" s="102"/>
      <c r="CM8" s="102"/>
      <c r="CN8" s="102"/>
      <c r="CO8" s="102"/>
      <c r="CP8" s="102"/>
      <c r="CQ8" s="102"/>
      <c r="CR8" s="102"/>
      <c r="CS8" s="102"/>
    </row>
    <row r="9" spans="2:97" ht="21.75" customHeight="1" x14ac:dyDescent="0.55000000000000004">
      <c r="B9" s="103" t="s">
        <v>36</v>
      </c>
      <c r="C9" s="104"/>
      <c r="D9" s="105">
        <v>1</v>
      </c>
      <c r="E9" s="106">
        <v>46238</v>
      </c>
      <c r="F9" s="106">
        <v>46238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  <c r="AI9" s="102"/>
      <c r="AJ9" s="102"/>
      <c r="AK9" s="102"/>
      <c r="AL9" s="102"/>
      <c r="AM9" s="102"/>
      <c r="AN9" s="102"/>
      <c r="AO9" s="102"/>
      <c r="AP9" s="102"/>
      <c r="AQ9" s="102"/>
      <c r="AR9" s="102"/>
      <c r="AS9" s="102"/>
      <c r="AT9" s="102"/>
      <c r="AU9" s="102"/>
      <c r="AV9" s="102"/>
      <c r="AW9" s="102"/>
      <c r="AX9" s="102"/>
      <c r="AY9" s="102"/>
      <c r="AZ9" s="102"/>
      <c r="BA9" s="102"/>
      <c r="BB9" s="102"/>
      <c r="BC9" s="102"/>
      <c r="BD9" s="102"/>
      <c r="BE9" s="102"/>
      <c r="BF9" s="102"/>
      <c r="BG9" s="102"/>
      <c r="BH9" s="102"/>
      <c r="BI9" s="102"/>
      <c r="BJ9" s="102"/>
      <c r="BK9" s="102"/>
      <c r="BL9" s="102"/>
      <c r="BM9" s="102"/>
      <c r="BN9" s="102"/>
      <c r="BO9" s="102"/>
      <c r="BP9" s="102"/>
      <c r="BQ9" s="102"/>
      <c r="BR9" s="102"/>
      <c r="BS9" s="102"/>
      <c r="BT9" s="102"/>
      <c r="BU9" s="102"/>
      <c r="BV9" s="102"/>
      <c r="BW9" s="102"/>
      <c r="BX9" s="102"/>
      <c r="BY9" s="102"/>
      <c r="BZ9" s="102"/>
      <c r="CA9" s="102"/>
      <c r="CB9" s="102"/>
      <c r="CC9" s="102"/>
      <c r="CD9" s="102"/>
      <c r="CE9" s="102"/>
      <c r="CF9" s="102"/>
      <c r="CG9" s="102"/>
      <c r="CH9" s="102"/>
      <c r="CI9" s="102"/>
      <c r="CJ9" s="102"/>
      <c r="CK9" s="102"/>
      <c r="CL9" s="102"/>
      <c r="CM9" s="102"/>
      <c r="CN9" s="102"/>
      <c r="CO9" s="102"/>
      <c r="CP9" s="102"/>
      <c r="CQ9" s="102"/>
      <c r="CR9" s="102"/>
      <c r="CS9" s="102"/>
    </row>
    <row r="10" spans="2:97" ht="21.75" customHeight="1" x14ac:dyDescent="0.55000000000000004">
      <c r="B10" s="103" t="s">
        <v>37</v>
      </c>
      <c r="C10" s="104"/>
      <c r="D10" s="105">
        <v>1</v>
      </c>
      <c r="E10" s="106">
        <v>46239</v>
      </c>
      <c r="F10" s="106">
        <v>46239</v>
      </c>
      <c r="G10" s="102"/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  <c r="AC10" s="102"/>
      <c r="AD10" s="102"/>
      <c r="AE10" s="102"/>
      <c r="AF10" s="102"/>
      <c r="AG10" s="102"/>
      <c r="AH10" s="102"/>
      <c r="AI10" s="102"/>
      <c r="AJ10" s="102"/>
      <c r="AK10" s="102"/>
      <c r="AL10" s="102"/>
      <c r="AM10" s="102"/>
      <c r="AN10" s="102"/>
      <c r="AO10" s="102"/>
      <c r="AP10" s="102"/>
      <c r="AQ10" s="102"/>
      <c r="AR10" s="102"/>
      <c r="AS10" s="102"/>
      <c r="AT10" s="102"/>
      <c r="AU10" s="102"/>
      <c r="AV10" s="102"/>
      <c r="AW10" s="102"/>
      <c r="AX10" s="102"/>
      <c r="AY10" s="102"/>
      <c r="AZ10" s="102"/>
      <c r="BA10" s="102"/>
      <c r="BB10" s="102"/>
      <c r="BC10" s="102"/>
      <c r="BD10" s="102"/>
      <c r="BE10" s="102"/>
      <c r="BF10" s="102"/>
      <c r="BG10" s="102"/>
      <c r="BH10" s="102"/>
      <c r="BI10" s="102"/>
      <c r="BJ10" s="102"/>
      <c r="BK10" s="102"/>
      <c r="BL10" s="102"/>
      <c r="BM10" s="102"/>
      <c r="BN10" s="102"/>
      <c r="BO10" s="102"/>
      <c r="BP10" s="102"/>
      <c r="BQ10" s="102"/>
      <c r="BR10" s="102"/>
      <c r="BS10" s="102"/>
      <c r="BT10" s="102"/>
      <c r="BU10" s="102"/>
      <c r="BV10" s="102"/>
      <c r="BW10" s="102"/>
      <c r="BX10" s="102"/>
      <c r="BY10" s="102"/>
      <c r="BZ10" s="102"/>
      <c r="CA10" s="102"/>
      <c r="CB10" s="102"/>
      <c r="CC10" s="102"/>
      <c r="CD10" s="102"/>
      <c r="CE10" s="102"/>
      <c r="CF10" s="102"/>
      <c r="CG10" s="102"/>
      <c r="CH10" s="102"/>
      <c r="CI10" s="102"/>
      <c r="CJ10" s="102"/>
      <c r="CK10" s="102"/>
      <c r="CL10" s="102"/>
      <c r="CM10" s="102"/>
      <c r="CN10" s="102"/>
      <c r="CO10" s="102"/>
      <c r="CP10" s="102"/>
      <c r="CQ10" s="102"/>
      <c r="CR10" s="102"/>
      <c r="CS10" s="102"/>
    </row>
    <row r="11" spans="2:97" ht="21.75" customHeight="1" x14ac:dyDescent="0.55000000000000004">
      <c r="B11" s="103" t="s">
        <v>38</v>
      </c>
      <c r="C11" s="104"/>
      <c r="D11" s="105">
        <v>0</v>
      </c>
      <c r="E11" s="106">
        <v>46240</v>
      </c>
      <c r="F11" s="106">
        <v>46240</v>
      </c>
      <c r="G11" s="102"/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2"/>
      <c r="AZ11" s="102"/>
      <c r="BA11" s="102"/>
      <c r="BB11" s="102"/>
      <c r="BC11" s="102"/>
      <c r="BD11" s="102"/>
      <c r="BE11" s="102"/>
      <c r="BF11" s="102"/>
      <c r="BG11" s="102"/>
      <c r="BH11" s="102"/>
      <c r="BI11" s="102"/>
      <c r="BJ11" s="102"/>
      <c r="BK11" s="102"/>
      <c r="BL11" s="102"/>
      <c r="BM11" s="102"/>
      <c r="BN11" s="102"/>
      <c r="BO11" s="102"/>
      <c r="BP11" s="102"/>
      <c r="BQ11" s="102"/>
      <c r="BR11" s="102"/>
      <c r="BS11" s="102"/>
      <c r="BT11" s="102"/>
      <c r="BU11" s="102"/>
      <c r="BV11" s="102"/>
      <c r="BW11" s="102"/>
      <c r="BX11" s="102"/>
      <c r="BY11" s="102"/>
      <c r="BZ11" s="102"/>
      <c r="CA11" s="102"/>
      <c r="CB11" s="102"/>
      <c r="CC11" s="102"/>
      <c r="CD11" s="102"/>
      <c r="CE11" s="102"/>
      <c r="CF11" s="102"/>
      <c r="CG11" s="102"/>
      <c r="CH11" s="102"/>
      <c r="CI11" s="102"/>
      <c r="CJ11" s="102"/>
      <c r="CK11" s="102"/>
      <c r="CL11" s="102"/>
      <c r="CM11" s="102"/>
      <c r="CN11" s="102"/>
      <c r="CO11" s="102"/>
      <c r="CP11" s="102"/>
      <c r="CQ11" s="102"/>
      <c r="CR11" s="102"/>
      <c r="CS11" s="102"/>
    </row>
    <row r="12" spans="2:97" ht="21.75" customHeight="1" x14ac:dyDescent="0.55000000000000004">
      <c r="B12" s="103"/>
      <c r="C12" s="104"/>
      <c r="D12" s="105"/>
      <c r="E12" s="106"/>
      <c r="F12" s="106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2"/>
      <c r="AZ12" s="102"/>
      <c r="BA12" s="102"/>
      <c r="BB12" s="102"/>
      <c r="BC12" s="102"/>
      <c r="BD12" s="102"/>
      <c r="BE12" s="102"/>
      <c r="BF12" s="102"/>
      <c r="BG12" s="102"/>
      <c r="BH12" s="102"/>
      <c r="BI12" s="102"/>
      <c r="BJ12" s="102"/>
      <c r="BK12" s="102"/>
      <c r="BL12" s="102"/>
      <c r="BM12" s="102"/>
      <c r="BN12" s="102"/>
      <c r="BO12" s="102"/>
      <c r="BP12" s="102"/>
      <c r="BQ12" s="102"/>
      <c r="BR12" s="102"/>
      <c r="BS12" s="102"/>
      <c r="BT12" s="102"/>
      <c r="BU12" s="102"/>
      <c r="BV12" s="102"/>
      <c r="BW12" s="102"/>
      <c r="BX12" s="102"/>
      <c r="BY12" s="102"/>
      <c r="BZ12" s="102"/>
      <c r="CA12" s="102"/>
      <c r="CB12" s="102"/>
      <c r="CC12" s="102"/>
      <c r="CD12" s="102"/>
      <c r="CE12" s="102"/>
      <c r="CF12" s="102"/>
      <c r="CG12" s="102"/>
      <c r="CH12" s="102"/>
      <c r="CI12" s="102"/>
      <c r="CJ12" s="102"/>
      <c r="CK12" s="102"/>
      <c r="CL12" s="102"/>
      <c r="CM12" s="102"/>
      <c r="CN12" s="102"/>
      <c r="CO12" s="102"/>
      <c r="CP12" s="102"/>
      <c r="CQ12" s="102"/>
      <c r="CR12" s="102"/>
      <c r="CS12" s="102"/>
    </row>
    <row r="13" spans="2:97" ht="21.75" customHeight="1" x14ac:dyDescent="0.55000000000000004">
      <c r="B13" s="98" t="s">
        <v>62</v>
      </c>
      <c r="C13" s="99"/>
      <c r="D13" s="99"/>
      <c r="E13" s="100">
        <v>46241</v>
      </c>
      <c r="F13" s="101">
        <v>46260</v>
      </c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2"/>
      <c r="AZ13" s="102"/>
      <c r="BA13" s="102"/>
      <c r="BB13" s="102"/>
      <c r="BC13" s="102"/>
      <c r="BD13" s="102"/>
      <c r="BE13" s="102"/>
      <c r="BF13" s="102"/>
      <c r="BG13" s="102"/>
      <c r="BH13" s="102"/>
      <c r="BI13" s="102"/>
      <c r="BJ13" s="102"/>
      <c r="BK13" s="102"/>
      <c r="BL13" s="102"/>
      <c r="BM13" s="102"/>
      <c r="BN13" s="102"/>
      <c r="BO13" s="102"/>
      <c r="BP13" s="102"/>
      <c r="BQ13" s="102"/>
      <c r="BR13" s="102"/>
      <c r="BS13" s="102"/>
      <c r="BT13" s="102"/>
      <c r="BU13" s="102"/>
      <c r="BV13" s="102"/>
      <c r="BW13" s="102"/>
      <c r="BX13" s="102"/>
      <c r="BY13" s="102"/>
      <c r="BZ13" s="102"/>
      <c r="CA13" s="102"/>
      <c r="CB13" s="102"/>
      <c r="CC13" s="102"/>
      <c r="CD13" s="102"/>
      <c r="CE13" s="102"/>
      <c r="CF13" s="102"/>
      <c r="CG13" s="102"/>
      <c r="CH13" s="102"/>
      <c r="CI13" s="102"/>
      <c r="CJ13" s="102"/>
      <c r="CK13" s="102"/>
      <c r="CL13" s="102"/>
      <c r="CM13" s="102"/>
      <c r="CN13" s="102"/>
      <c r="CO13" s="102"/>
      <c r="CP13" s="102"/>
      <c r="CQ13" s="102"/>
      <c r="CR13" s="102"/>
      <c r="CS13" s="102"/>
    </row>
    <row r="14" spans="2:97" ht="21.75" customHeight="1" x14ac:dyDescent="0.55000000000000004">
      <c r="B14" s="107" t="s">
        <v>39</v>
      </c>
      <c r="C14" s="104"/>
      <c r="D14" s="105">
        <v>5</v>
      </c>
      <c r="E14" s="106">
        <v>46241</v>
      </c>
      <c r="F14" s="106">
        <v>46245</v>
      </c>
      <c r="G14" s="102"/>
      <c r="H14" s="102"/>
      <c r="I14" s="102"/>
      <c r="J14" s="108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2"/>
      <c r="AZ14" s="102"/>
      <c r="BA14" s="102"/>
      <c r="BB14" s="102"/>
      <c r="BC14" s="102"/>
      <c r="BD14" s="102"/>
      <c r="BE14" s="102"/>
      <c r="BF14" s="102"/>
      <c r="BG14" s="102"/>
      <c r="BH14" s="102"/>
      <c r="BI14" s="102"/>
      <c r="BJ14" s="102"/>
      <c r="BK14" s="102"/>
      <c r="BL14" s="102"/>
      <c r="BM14" s="102"/>
      <c r="BN14" s="102"/>
      <c r="BO14" s="102"/>
      <c r="BP14" s="102"/>
      <c r="BQ14" s="102"/>
      <c r="BR14" s="102"/>
      <c r="BS14" s="102"/>
      <c r="BT14" s="102"/>
      <c r="BU14" s="102"/>
      <c r="BV14" s="102"/>
      <c r="BW14" s="102"/>
      <c r="BX14" s="102"/>
      <c r="BY14" s="102"/>
      <c r="BZ14" s="102"/>
      <c r="CA14" s="102"/>
      <c r="CB14" s="102"/>
      <c r="CC14" s="102"/>
      <c r="CD14" s="102"/>
      <c r="CE14" s="102"/>
      <c r="CF14" s="102"/>
      <c r="CG14" s="102"/>
      <c r="CH14" s="102"/>
      <c r="CI14" s="102"/>
      <c r="CJ14" s="102"/>
      <c r="CK14" s="102"/>
      <c r="CL14" s="102"/>
      <c r="CM14" s="102"/>
      <c r="CN14" s="102"/>
      <c r="CO14" s="102"/>
      <c r="CP14" s="102"/>
      <c r="CQ14" s="102"/>
      <c r="CR14" s="102"/>
      <c r="CS14" s="102"/>
    </row>
    <row r="15" spans="2:97" ht="21.75" customHeight="1" x14ac:dyDescent="0.55000000000000004">
      <c r="B15" s="107" t="s">
        <v>40</v>
      </c>
      <c r="C15" s="109"/>
      <c r="D15" s="110">
        <v>7.5</v>
      </c>
      <c r="E15" s="111">
        <v>46246</v>
      </c>
      <c r="F15" s="106">
        <v>46252</v>
      </c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  <c r="AY15" s="102"/>
      <c r="AZ15" s="102"/>
      <c r="BA15" s="102"/>
      <c r="BB15" s="102"/>
      <c r="BC15" s="102"/>
      <c r="BD15" s="102"/>
      <c r="BE15" s="102"/>
      <c r="BF15" s="102"/>
      <c r="BG15" s="102"/>
      <c r="BH15" s="102"/>
      <c r="BI15" s="102"/>
      <c r="BJ15" s="102"/>
      <c r="BK15" s="102"/>
      <c r="BL15" s="102"/>
      <c r="BM15" s="102"/>
      <c r="BN15" s="102"/>
      <c r="BO15" s="102"/>
      <c r="BP15" s="102"/>
      <c r="BQ15" s="102"/>
      <c r="BR15" s="102"/>
      <c r="BS15" s="102"/>
      <c r="BT15" s="102"/>
      <c r="BU15" s="102"/>
      <c r="BV15" s="102"/>
      <c r="BW15" s="102"/>
      <c r="BX15" s="102"/>
      <c r="BY15" s="102"/>
      <c r="BZ15" s="102"/>
      <c r="CA15" s="102"/>
      <c r="CB15" s="102"/>
      <c r="CC15" s="102"/>
      <c r="CD15" s="102"/>
      <c r="CE15" s="102"/>
      <c r="CF15" s="102"/>
      <c r="CG15" s="102"/>
      <c r="CH15" s="102"/>
      <c r="CI15" s="102"/>
      <c r="CJ15" s="102"/>
      <c r="CK15" s="102"/>
      <c r="CL15" s="102"/>
      <c r="CM15" s="102"/>
      <c r="CN15" s="102"/>
      <c r="CO15" s="102"/>
      <c r="CP15" s="102"/>
      <c r="CQ15" s="102"/>
      <c r="CR15" s="102"/>
      <c r="CS15" s="102"/>
    </row>
    <row r="16" spans="2:97" ht="21.75" customHeight="1" x14ac:dyDescent="0.55000000000000004">
      <c r="B16" s="107" t="s">
        <v>41</v>
      </c>
      <c r="C16" s="109"/>
      <c r="D16" s="110">
        <v>1</v>
      </c>
      <c r="E16" s="111">
        <v>46253</v>
      </c>
      <c r="F16" s="106">
        <v>46253</v>
      </c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2"/>
      <c r="AJ16" s="102"/>
      <c r="AK16" s="102"/>
      <c r="AL16" s="102"/>
      <c r="AM16" s="102"/>
      <c r="AN16" s="102"/>
      <c r="AO16" s="102"/>
      <c r="AP16" s="102"/>
      <c r="AQ16" s="102"/>
      <c r="AR16" s="102"/>
      <c r="AS16" s="102"/>
      <c r="AT16" s="102"/>
      <c r="AU16" s="102"/>
      <c r="AV16" s="102"/>
      <c r="AW16" s="102"/>
      <c r="AX16" s="102"/>
      <c r="AY16" s="102"/>
      <c r="AZ16" s="102"/>
      <c r="BA16" s="102"/>
      <c r="BB16" s="102"/>
      <c r="BC16" s="102"/>
      <c r="BD16" s="102"/>
      <c r="BE16" s="102"/>
      <c r="BF16" s="102"/>
      <c r="BG16" s="102"/>
      <c r="BH16" s="102"/>
      <c r="BI16" s="102"/>
      <c r="BJ16" s="102"/>
      <c r="BK16" s="102"/>
      <c r="BL16" s="102"/>
      <c r="BM16" s="102"/>
      <c r="BN16" s="102"/>
      <c r="BO16" s="102"/>
      <c r="BP16" s="102"/>
      <c r="BQ16" s="102"/>
      <c r="BR16" s="102"/>
      <c r="BS16" s="102"/>
      <c r="BT16" s="102"/>
      <c r="BU16" s="102"/>
      <c r="BV16" s="102"/>
      <c r="BW16" s="102"/>
      <c r="BX16" s="102"/>
      <c r="BY16" s="102"/>
      <c r="BZ16" s="102"/>
      <c r="CA16" s="102"/>
      <c r="CB16" s="102"/>
      <c r="CC16" s="102"/>
      <c r="CD16" s="102"/>
      <c r="CE16" s="102"/>
      <c r="CF16" s="102"/>
      <c r="CG16" s="102"/>
      <c r="CH16" s="102"/>
      <c r="CI16" s="102"/>
      <c r="CJ16" s="102"/>
      <c r="CK16" s="102"/>
      <c r="CL16" s="102"/>
      <c r="CM16" s="102"/>
      <c r="CN16" s="102"/>
      <c r="CO16" s="102"/>
      <c r="CP16" s="102"/>
      <c r="CQ16" s="102"/>
      <c r="CR16" s="102"/>
      <c r="CS16" s="102"/>
    </row>
    <row r="17" spans="2:97" ht="21.75" customHeight="1" x14ac:dyDescent="0.55000000000000004">
      <c r="B17" s="107" t="s">
        <v>42</v>
      </c>
      <c r="C17" s="109"/>
      <c r="D17" s="110">
        <v>4</v>
      </c>
      <c r="E17" s="111">
        <v>46254</v>
      </c>
      <c r="F17" s="106">
        <v>46257</v>
      </c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2"/>
      <c r="AM17" s="102"/>
      <c r="AN17" s="102"/>
      <c r="AO17" s="102"/>
      <c r="AP17" s="102"/>
      <c r="AQ17" s="102"/>
      <c r="AR17" s="102"/>
      <c r="AS17" s="102"/>
      <c r="AT17" s="102"/>
      <c r="AU17" s="102"/>
      <c r="AV17" s="102"/>
      <c r="AW17" s="102"/>
      <c r="AX17" s="102"/>
      <c r="AY17" s="102"/>
      <c r="AZ17" s="102"/>
      <c r="BA17" s="102"/>
      <c r="BB17" s="102"/>
      <c r="BC17" s="102"/>
      <c r="BD17" s="102"/>
      <c r="BE17" s="102"/>
      <c r="BF17" s="102"/>
      <c r="BG17" s="102"/>
      <c r="BH17" s="102"/>
      <c r="BI17" s="102"/>
      <c r="BJ17" s="102"/>
      <c r="BK17" s="102"/>
      <c r="BL17" s="102"/>
      <c r="BM17" s="102"/>
      <c r="BN17" s="102"/>
      <c r="BO17" s="102"/>
      <c r="BP17" s="102"/>
      <c r="BQ17" s="102"/>
      <c r="BR17" s="102"/>
      <c r="BS17" s="102"/>
      <c r="BT17" s="102"/>
      <c r="BU17" s="102"/>
      <c r="BV17" s="102"/>
      <c r="BW17" s="102"/>
      <c r="BX17" s="102"/>
      <c r="BY17" s="102"/>
      <c r="BZ17" s="102"/>
      <c r="CA17" s="102"/>
      <c r="CB17" s="102"/>
      <c r="CC17" s="102"/>
      <c r="CD17" s="102"/>
      <c r="CE17" s="102"/>
      <c r="CF17" s="102"/>
      <c r="CG17" s="102"/>
      <c r="CH17" s="102"/>
      <c r="CI17" s="102"/>
      <c r="CJ17" s="102"/>
      <c r="CK17" s="102"/>
      <c r="CL17" s="102"/>
      <c r="CM17" s="102"/>
      <c r="CN17" s="102"/>
      <c r="CO17" s="102"/>
      <c r="CP17" s="102"/>
      <c r="CQ17" s="102"/>
      <c r="CR17" s="102"/>
      <c r="CS17" s="102"/>
    </row>
    <row r="18" spans="2:97" ht="21.75" customHeight="1" x14ac:dyDescent="0.55000000000000004">
      <c r="B18" s="107" t="s">
        <v>43</v>
      </c>
      <c r="C18" s="109"/>
      <c r="D18" s="110">
        <v>1</v>
      </c>
      <c r="E18" s="111">
        <v>46258</v>
      </c>
      <c r="F18" s="106">
        <v>46258</v>
      </c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2"/>
      <c r="AJ18" s="102"/>
      <c r="AK18" s="102"/>
      <c r="AL18" s="102"/>
      <c r="AM18" s="102"/>
      <c r="AN18" s="102"/>
      <c r="AO18" s="102"/>
      <c r="AP18" s="102"/>
      <c r="AQ18" s="102"/>
      <c r="AR18" s="102"/>
      <c r="AS18" s="102"/>
      <c r="AT18" s="102"/>
      <c r="AU18" s="102"/>
      <c r="AV18" s="102"/>
      <c r="AW18" s="102"/>
      <c r="AX18" s="102"/>
      <c r="AY18" s="102"/>
      <c r="AZ18" s="102"/>
      <c r="BA18" s="102"/>
      <c r="BB18" s="102"/>
      <c r="BC18" s="102"/>
      <c r="BD18" s="102"/>
      <c r="BE18" s="102"/>
      <c r="BF18" s="102"/>
      <c r="BG18" s="102"/>
      <c r="BH18" s="102"/>
      <c r="BI18" s="102"/>
      <c r="BJ18" s="102"/>
      <c r="BK18" s="102"/>
      <c r="BL18" s="102"/>
      <c r="BM18" s="102"/>
      <c r="BN18" s="102"/>
      <c r="BO18" s="102"/>
      <c r="BP18" s="102"/>
      <c r="BQ18" s="102"/>
      <c r="BR18" s="102"/>
      <c r="BS18" s="102"/>
      <c r="BT18" s="102"/>
      <c r="BU18" s="102"/>
      <c r="BV18" s="102"/>
      <c r="BW18" s="102"/>
      <c r="BX18" s="102"/>
      <c r="BY18" s="102"/>
      <c r="BZ18" s="102"/>
      <c r="CA18" s="102"/>
      <c r="CB18" s="102"/>
      <c r="CC18" s="102"/>
      <c r="CD18" s="102"/>
      <c r="CE18" s="102"/>
      <c r="CF18" s="102"/>
      <c r="CG18" s="102"/>
      <c r="CH18" s="102"/>
      <c r="CI18" s="102"/>
      <c r="CJ18" s="102"/>
      <c r="CK18" s="102"/>
      <c r="CL18" s="102"/>
      <c r="CM18" s="102"/>
      <c r="CN18" s="102"/>
      <c r="CO18" s="102"/>
      <c r="CP18" s="102"/>
      <c r="CQ18" s="102"/>
      <c r="CR18" s="102"/>
      <c r="CS18" s="102"/>
    </row>
    <row r="19" spans="2:97" x14ac:dyDescent="0.55000000000000004">
      <c r="B19" s="107" t="s">
        <v>44</v>
      </c>
      <c r="C19" s="109"/>
      <c r="D19" s="110">
        <v>1</v>
      </c>
      <c r="E19" s="111">
        <v>46259</v>
      </c>
      <c r="F19" s="106">
        <v>46259</v>
      </c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2"/>
      <c r="AJ19" s="102"/>
      <c r="AK19" s="102"/>
      <c r="AL19" s="102"/>
      <c r="AM19" s="102"/>
      <c r="AN19" s="102"/>
      <c r="AO19" s="102"/>
      <c r="AP19" s="102"/>
      <c r="AQ19" s="102"/>
      <c r="AR19" s="102"/>
      <c r="AS19" s="102"/>
      <c r="AT19" s="102"/>
      <c r="AU19" s="102"/>
      <c r="AV19" s="102"/>
      <c r="AW19" s="102"/>
      <c r="AX19" s="102"/>
      <c r="AY19" s="102"/>
      <c r="AZ19" s="102"/>
      <c r="BA19" s="102"/>
      <c r="BB19" s="102"/>
      <c r="BC19" s="102"/>
      <c r="BD19" s="102"/>
      <c r="BE19" s="102"/>
      <c r="BF19" s="102"/>
      <c r="BG19" s="102"/>
      <c r="BH19" s="102"/>
      <c r="BI19" s="102"/>
      <c r="BJ19" s="102"/>
      <c r="BK19" s="102"/>
      <c r="BL19" s="102"/>
      <c r="BM19" s="102"/>
      <c r="BN19" s="102"/>
      <c r="BO19" s="102"/>
      <c r="BP19" s="102"/>
      <c r="BQ19" s="102"/>
      <c r="BR19" s="102"/>
      <c r="BS19" s="102"/>
      <c r="BT19" s="102"/>
      <c r="BU19" s="102"/>
      <c r="BV19" s="102"/>
      <c r="BW19" s="102"/>
      <c r="BX19" s="102"/>
      <c r="BY19" s="102"/>
      <c r="BZ19" s="102"/>
      <c r="CA19" s="102"/>
      <c r="CB19" s="102"/>
      <c r="CC19" s="102"/>
      <c r="CD19" s="102"/>
      <c r="CE19" s="102"/>
      <c r="CF19" s="102"/>
      <c r="CG19" s="102"/>
      <c r="CH19" s="102"/>
      <c r="CI19" s="102"/>
      <c r="CJ19" s="102"/>
      <c r="CK19" s="102"/>
      <c r="CL19" s="102"/>
      <c r="CM19" s="102"/>
      <c r="CN19" s="102"/>
      <c r="CO19" s="102"/>
      <c r="CP19" s="102"/>
      <c r="CQ19" s="102"/>
      <c r="CR19" s="102"/>
      <c r="CS19" s="102"/>
    </row>
    <row r="20" spans="2:97" x14ac:dyDescent="0.55000000000000004">
      <c r="B20" s="107" t="s">
        <v>45</v>
      </c>
      <c r="C20" s="109"/>
      <c r="D20" s="110">
        <v>0.5</v>
      </c>
      <c r="E20" s="111">
        <v>46260</v>
      </c>
      <c r="F20" s="106">
        <v>46260</v>
      </c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V20" s="102"/>
      <c r="BW20" s="102"/>
      <c r="BX20" s="102"/>
      <c r="BY20" s="102"/>
      <c r="BZ20" s="102"/>
      <c r="CA20" s="102"/>
      <c r="CB20" s="102"/>
      <c r="CC20" s="102"/>
      <c r="CD20" s="102"/>
      <c r="CE20" s="102"/>
      <c r="CF20" s="102"/>
      <c r="CG20" s="102"/>
      <c r="CH20" s="102"/>
      <c r="CI20" s="102"/>
      <c r="CJ20" s="102"/>
      <c r="CK20" s="102"/>
      <c r="CL20" s="102"/>
      <c r="CM20" s="102"/>
      <c r="CN20" s="102"/>
      <c r="CO20" s="102"/>
      <c r="CP20" s="102"/>
      <c r="CQ20" s="102"/>
      <c r="CR20" s="102"/>
      <c r="CS20" s="102"/>
    </row>
    <row r="21" spans="2:97" x14ac:dyDescent="0.55000000000000004">
      <c r="B21" s="107" t="s">
        <v>37</v>
      </c>
      <c r="C21" s="109"/>
      <c r="D21" s="110">
        <v>1</v>
      </c>
      <c r="E21" s="111">
        <v>46260</v>
      </c>
      <c r="F21" s="106">
        <v>46260</v>
      </c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V21" s="102"/>
      <c r="BW21" s="102"/>
      <c r="BX21" s="102"/>
      <c r="BY21" s="102"/>
      <c r="BZ21" s="102"/>
      <c r="CA21" s="102"/>
      <c r="CB21" s="102"/>
      <c r="CC21" s="102"/>
      <c r="CD21" s="102"/>
      <c r="CE21" s="102"/>
      <c r="CF21" s="102"/>
      <c r="CG21" s="102"/>
      <c r="CH21" s="102"/>
      <c r="CI21" s="102"/>
      <c r="CJ21" s="102"/>
      <c r="CK21" s="102"/>
      <c r="CL21" s="102"/>
      <c r="CM21" s="102"/>
      <c r="CN21" s="102"/>
      <c r="CO21" s="102"/>
      <c r="CP21" s="102"/>
      <c r="CQ21" s="102"/>
      <c r="CR21" s="102"/>
      <c r="CS21" s="102"/>
    </row>
    <row r="22" spans="2:97" x14ac:dyDescent="0.55000000000000004">
      <c r="B22" s="107" t="s">
        <v>46</v>
      </c>
      <c r="C22" s="109"/>
      <c r="D22" s="110">
        <v>0</v>
      </c>
      <c r="E22" s="111">
        <v>46260</v>
      </c>
      <c r="F22" s="106">
        <v>46260</v>
      </c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V22" s="102"/>
      <c r="BW22" s="102"/>
      <c r="BX22" s="102"/>
      <c r="BY22" s="102"/>
      <c r="BZ22" s="102"/>
      <c r="CA22" s="102"/>
      <c r="CB22" s="102"/>
      <c r="CC22" s="102"/>
      <c r="CD22" s="102"/>
      <c r="CE22" s="102"/>
      <c r="CF22" s="102"/>
      <c r="CG22" s="102"/>
      <c r="CH22" s="102"/>
      <c r="CI22" s="102"/>
      <c r="CJ22" s="102"/>
      <c r="CK22" s="102"/>
      <c r="CL22" s="102"/>
      <c r="CM22" s="102"/>
      <c r="CN22" s="102"/>
      <c r="CO22" s="102"/>
      <c r="CP22" s="102"/>
      <c r="CQ22" s="102"/>
      <c r="CR22" s="102"/>
      <c r="CS22" s="102"/>
    </row>
    <row r="23" spans="2:97" x14ac:dyDescent="0.55000000000000004">
      <c r="B23" s="107"/>
      <c r="C23" s="109"/>
      <c r="D23" s="110"/>
      <c r="E23" s="111"/>
      <c r="F23" s="106"/>
      <c r="G23" s="102"/>
      <c r="H23" s="102"/>
      <c r="I23" s="102"/>
      <c r="J23" s="102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V23" s="102"/>
      <c r="BW23" s="102"/>
      <c r="BX23" s="102"/>
      <c r="BY23" s="102"/>
      <c r="BZ23" s="102"/>
      <c r="CA23" s="102"/>
      <c r="CB23" s="102"/>
      <c r="CC23" s="102"/>
      <c r="CD23" s="102"/>
      <c r="CE23" s="102"/>
      <c r="CF23" s="102"/>
      <c r="CG23" s="102"/>
      <c r="CH23" s="102"/>
      <c r="CI23" s="102"/>
      <c r="CJ23" s="102"/>
      <c r="CK23" s="102"/>
      <c r="CL23" s="102"/>
      <c r="CM23" s="102"/>
      <c r="CN23" s="102"/>
      <c r="CO23" s="102"/>
      <c r="CP23" s="102"/>
      <c r="CQ23" s="102"/>
      <c r="CR23" s="102"/>
      <c r="CS23" s="102"/>
    </row>
    <row r="24" spans="2:97" x14ac:dyDescent="0.55000000000000004">
      <c r="B24" s="107"/>
      <c r="C24" s="109"/>
      <c r="D24" s="110"/>
      <c r="E24" s="111"/>
      <c r="F24" s="106"/>
      <c r="G24" s="102"/>
      <c r="H24" s="102"/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V24" s="102"/>
      <c r="BW24" s="102"/>
      <c r="BX24" s="102"/>
      <c r="BY24" s="102"/>
      <c r="BZ24" s="102"/>
      <c r="CA24" s="102"/>
      <c r="CB24" s="102"/>
      <c r="CC24" s="102"/>
      <c r="CD24" s="102"/>
      <c r="CE24" s="102"/>
      <c r="CF24" s="102"/>
      <c r="CG24" s="102"/>
      <c r="CH24" s="102"/>
      <c r="CI24" s="102"/>
      <c r="CJ24" s="102"/>
      <c r="CK24" s="102"/>
      <c r="CL24" s="102"/>
      <c r="CM24" s="102"/>
      <c r="CN24" s="102"/>
      <c r="CO24" s="102"/>
      <c r="CP24" s="102"/>
      <c r="CQ24" s="102"/>
      <c r="CR24" s="102"/>
      <c r="CS24" s="102"/>
    </row>
    <row r="25" spans="2:97" x14ac:dyDescent="0.55000000000000004">
      <c r="B25" s="107"/>
      <c r="C25" s="109"/>
      <c r="D25" s="110"/>
      <c r="E25" s="111"/>
      <c r="F25" s="106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2"/>
      <c r="AJ25" s="102"/>
      <c r="AK25" s="102"/>
      <c r="AL25" s="102"/>
      <c r="AM25" s="102"/>
      <c r="AN25" s="102"/>
      <c r="AO25" s="102"/>
      <c r="AP25" s="102"/>
      <c r="AQ25" s="102"/>
      <c r="AR25" s="102"/>
      <c r="AS25" s="102"/>
      <c r="AT25" s="102"/>
      <c r="AU25" s="102"/>
      <c r="AV25" s="102"/>
      <c r="AW25" s="102"/>
      <c r="AX25" s="102"/>
      <c r="AY25" s="102"/>
      <c r="AZ25" s="102"/>
      <c r="BA25" s="102"/>
      <c r="BB25" s="102"/>
      <c r="BC25" s="102"/>
      <c r="BD25" s="102"/>
      <c r="BE25" s="102"/>
      <c r="BF25" s="102"/>
      <c r="BG25" s="102"/>
      <c r="BH25" s="102"/>
      <c r="BI25" s="102"/>
      <c r="BJ25" s="102"/>
      <c r="BK25" s="102"/>
      <c r="BL25" s="102"/>
      <c r="BM25" s="102"/>
      <c r="BN25" s="102"/>
      <c r="BO25" s="102"/>
      <c r="BP25" s="102"/>
      <c r="BQ25" s="102"/>
      <c r="BR25" s="102"/>
      <c r="BS25" s="102"/>
      <c r="BT25" s="102"/>
      <c r="BU25" s="102"/>
      <c r="BV25" s="102"/>
      <c r="BW25" s="102"/>
      <c r="BX25" s="102"/>
      <c r="BY25" s="102"/>
      <c r="BZ25" s="102"/>
      <c r="CA25" s="102"/>
      <c r="CB25" s="102"/>
      <c r="CC25" s="102"/>
      <c r="CD25" s="102"/>
      <c r="CE25" s="102"/>
      <c r="CF25" s="102"/>
      <c r="CG25" s="102"/>
      <c r="CH25" s="102"/>
      <c r="CI25" s="102"/>
      <c r="CJ25" s="102"/>
      <c r="CK25" s="102"/>
      <c r="CL25" s="102"/>
      <c r="CM25" s="102"/>
      <c r="CN25" s="102"/>
      <c r="CO25" s="102"/>
      <c r="CP25" s="102"/>
      <c r="CQ25" s="102"/>
      <c r="CR25" s="102"/>
      <c r="CS25" s="102"/>
    </row>
    <row r="26" spans="2:97" x14ac:dyDescent="0.55000000000000004">
      <c r="B26" s="107"/>
      <c r="C26" s="109"/>
      <c r="D26" s="110"/>
      <c r="E26" s="111"/>
      <c r="F26" s="106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  <c r="AT26" s="102"/>
      <c r="AU26" s="102"/>
      <c r="AV26" s="102"/>
      <c r="AW26" s="102"/>
      <c r="AX26" s="102"/>
      <c r="AY26" s="102"/>
      <c r="AZ26" s="102"/>
      <c r="BA26" s="102"/>
      <c r="BB26" s="102"/>
      <c r="BC26" s="102"/>
      <c r="BD26" s="102"/>
      <c r="BE26" s="102"/>
      <c r="BF26" s="102"/>
      <c r="BG26" s="102"/>
      <c r="BH26" s="102"/>
      <c r="BI26" s="102"/>
      <c r="BJ26" s="102"/>
      <c r="BK26" s="102"/>
      <c r="BL26" s="102"/>
      <c r="BM26" s="102"/>
      <c r="BN26" s="102"/>
      <c r="BO26" s="102"/>
      <c r="BP26" s="102"/>
      <c r="BQ26" s="102"/>
      <c r="BR26" s="102"/>
      <c r="BS26" s="102"/>
      <c r="BT26" s="102"/>
      <c r="BU26" s="102"/>
      <c r="BV26" s="102"/>
      <c r="BW26" s="102"/>
      <c r="BX26" s="102"/>
      <c r="BY26" s="102"/>
      <c r="BZ26" s="102"/>
      <c r="CA26" s="102"/>
      <c r="CB26" s="102"/>
      <c r="CC26" s="102"/>
      <c r="CD26" s="102"/>
      <c r="CE26" s="102"/>
      <c r="CF26" s="102"/>
      <c r="CG26" s="102"/>
      <c r="CH26" s="102"/>
      <c r="CI26" s="102"/>
      <c r="CJ26" s="102"/>
      <c r="CK26" s="102"/>
      <c r="CL26" s="102"/>
      <c r="CM26" s="102"/>
      <c r="CN26" s="102"/>
      <c r="CO26" s="102"/>
      <c r="CP26" s="102"/>
      <c r="CQ26" s="102"/>
      <c r="CR26" s="102"/>
      <c r="CS26" s="102"/>
    </row>
    <row r="27" spans="2:97" x14ac:dyDescent="0.55000000000000004">
      <c r="B27" s="107"/>
      <c r="C27" s="109"/>
      <c r="D27" s="110"/>
      <c r="E27" s="111"/>
      <c r="F27" s="106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2"/>
      <c r="AJ27" s="102"/>
      <c r="AK27" s="102"/>
      <c r="AL27" s="102"/>
      <c r="AM27" s="102"/>
      <c r="AN27" s="102"/>
      <c r="AO27" s="102"/>
      <c r="AP27" s="102"/>
      <c r="AQ27" s="102"/>
      <c r="AR27" s="102"/>
      <c r="AS27" s="102"/>
      <c r="AT27" s="102"/>
      <c r="AU27" s="102"/>
      <c r="AV27" s="102"/>
      <c r="AW27" s="102"/>
      <c r="AX27" s="102"/>
      <c r="AY27" s="102"/>
      <c r="AZ27" s="102"/>
      <c r="BA27" s="102"/>
      <c r="BB27" s="102"/>
      <c r="BC27" s="102"/>
      <c r="BD27" s="102"/>
      <c r="BE27" s="102"/>
      <c r="BF27" s="102"/>
      <c r="BG27" s="102"/>
      <c r="BH27" s="102"/>
      <c r="BI27" s="102"/>
      <c r="BJ27" s="102"/>
      <c r="BK27" s="102"/>
      <c r="BL27" s="102"/>
      <c r="BM27" s="102"/>
      <c r="BN27" s="102"/>
      <c r="BO27" s="102"/>
      <c r="BP27" s="102"/>
      <c r="BQ27" s="102"/>
      <c r="BR27" s="102"/>
      <c r="BS27" s="102"/>
      <c r="BT27" s="102"/>
      <c r="BU27" s="102"/>
      <c r="BV27" s="102"/>
      <c r="BW27" s="102"/>
      <c r="BX27" s="102"/>
      <c r="BY27" s="102"/>
      <c r="BZ27" s="102"/>
      <c r="CA27" s="102"/>
      <c r="CB27" s="102"/>
      <c r="CC27" s="102"/>
      <c r="CD27" s="102"/>
      <c r="CE27" s="102"/>
      <c r="CF27" s="102"/>
      <c r="CG27" s="102"/>
      <c r="CH27" s="102"/>
      <c r="CI27" s="102"/>
      <c r="CJ27" s="102"/>
      <c r="CK27" s="102"/>
      <c r="CL27" s="102"/>
      <c r="CM27" s="102"/>
      <c r="CN27" s="102"/>
      <c r="CO27" s="102"/>
      <c r="CP27" s="102"/>
      <c r="CQ27" s="102"/>
      <c r="CR27" s="102"/>
      <c r="CS27" s="102"/>
    </row>
    <row r="28" spans="2:97" x14ac:dyDescent="0.55000000000000004">
      <c r="B28" s="107"/>
      <c r="C28" s="109"/>
      <c r="D28" s="110"/>
      <c r="E28" s="111"/>
      <c r="F28" s="106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  <c r="BP28" s="102"/>
      <c r="BQ28" s="102"/>
      <c r="BR28" s="102"/>
      <c r="BS28" s="102"/>
      <c r="BT28" s="102"/>
      <c r="BU28" s="102"/>
      <c r="BV28" s="102"/>
      <c r="BW28" s="102"/>
      <c r="BX28" s="102"/>
      <c r="BY28" s="102"/>
      <c r="BZ28" s="102"/>
      <c r="CA28" s="102"/>
      <c r="CB28" s="102"/>
      <c r="CC28" s="102"/>
      <c r="CD28" s="102"/>
      <c r="CE28" s="102"/>
      <c r="CF28" s="102"/>
      <c r="CG28" s="102"/>
      <c r="CH28" s="102"/>
      <c r="CI28" s="102"/>
      <c r="CJ28" s="102"/>
      <c r="CK28" s="102"/>
      <c r="CL28" s="102"/>
      <c r="CM28" s="102"/>
      <c r="CN28" s="102"/>
      <c r="CO28" s="102"/>
      <c r="CP28" s="102"/>
      <c r="CQ28" s="102"/>
      <c r="CR28" s="102"/>
      <c r="CS28" s="102"/>
    </row>
    <row r="29" spans="2:97" x14ac:dyDescent="0.55000000000000004">
      <c r="B29" s="107"/>
      <c r="C29" s="109"/>
      <c r="D29" s="110"/>
      <c r="E29" s="111"/>
      <c r="F29" s="106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  <c r="BP29" s="102"/>
      <c r="BQ29" s="102"/>
      <c r="BR29" s="102"/>
      <c r="BS29" s="102"/>
      <c r="BT29" s="102"/>
      <c r="BU29" s="102"/>
      <c r="BV29" s="102"/>
      <c r="BW29" s="102"/>
      <c r="BX29" s="102"/>
      <c r="BY29" s="102"/>
      <c r="BZ29" s="102"/>
      <c r="CA29" s="102"/>
      <c r="CB29" s="102"/>
      <c r="CC29" s="102"/>
      <c r="CD29" s="102"/>
      <c r="CE29" s="102"/>
      <c r="CF29" s="102"/>
      <c r="CG29" s="102"/>
      <c r="CH29" s="102"/>
      <c r="CI29" s="102"/>
      <c r="CJ29" s="102"/>
      <c r="CK29" s="102"/>
      <c r="CL29" s="102"/>
      <c r="CM29" s="102"/>
      <c r="CN29" s="102"/>
      <c r="CO29" s="102"/>
      <c r="CP29" s="102"/>
      <c r="CQ29" s="102"/>
      <c r="CR29" s="102"/>
      <c r="CS29" s="102"/>
    </row>
  </sheetData>
  <mergeCells count="19">
    <mergeCell ref="CM4:CS4"/>
    <mergeCell ref="AW4:BC4"/>
    <mergeCell ref="BD4:BJ4"/>
    <mergeCell ref="BK4:BQ4"/>
    <mergeCell ref="BR4:BX4"/>
    <mergeCell ref="BY4:CE4"/>
    <mergeCell ref="CF4:CL4"/>
    <mergeCell ref="G4:M4"/>
    <mergeCell ref="N4:T4"/>
    <mergeCell ref="U4:AA4"/>
    <mergeCell ref="AB4:AH4"/>
    <mergeCell ref="AI4:AO4"/>
    <mergeCell ref="AP4:AV4"/>
    <mergeCell ref="B1:D2"/>
    <mergeCell ref="B4:B5"/>
    <mergeCell ref="C4:C5"/>
    <mergeCell ref="D4:D5"/>
    <mergeCell ref="E4:E5"/>
    <mergeCell ref="F4:F5"/>
  </mergeCells>
  <phoneticPr fontId="1"/>
  <conditionalFormatting sqref="G7:CS41">
    <cfRule type="expression" dxfId="1" priority="2">
      <formula>AND($E7&lt;=G$5,$F7&gt;=G$5,$F7&lt;&gt;"")</formula>
    </cfRule>
  </conditionalFormatting>
  <conditionalFormatting sqref="G6:CS6">
    <cfRule type="expression" dxfId="0" priority="1">
      <formula>AND($E6&lt;=G$5,$F6&gt;=G$5,$F6&lt;&gt;"")</formula>
    </cfRule>
  </conditionalFormatting>
  <dataValidations count="1">
    <dataValidation allowBlank="1" showInputMessage="1" showErrorMessage="1" prompt="完了日は、工数と開始日を入力すると自動的に計算されます。" sqref="F4:F5" xr:uid="{D184E1DE-0965-414E-A881-8C13EEEC5FF9}"/>
  </dataValidations>
  <pageMargins left="0.25" right="0.25" top="0.75" bottom="0.75" header="0.3" footer="0.3"/>
  <pageSetup paperSize="9" scale="71" orientation="landscape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56FA-0328-4FE7-B957-7159BD224610}">
  <dimension ref="A1:D18"/>
  <sheetViews>
    <sheetView zoomScale="104" workbookViewId="0">
      <selection activeCell="C3" sqref="C3"/>
    </sheetView>
  </sheetViews>
  <sheetFormatPr defaultRowHeight="18" x14ac:dyDescent="0.55000000000000004"/>
  <cols>
    <col min="1" max="1" width="52.4140625" bestFit="1" customWidth="1"/>
    <col min="2" max="3" width="10" style="78" bestFit="1" customWidth="1"/>
    <col min="4" max="4" width="8.25" bestFit="1" customWidth="1"/>
  </cols>
  <sheetData>
    <row r="1" spans="1:4" x14ac:dyDescent="0.55000000000000004">
      <c r="A1" s="77" t="s">
        <v>47</v>
      </c>
      <c r="B1" s="82" t="s">
        <v>48</v>
      </c>
      <c r="C1" s="82" t="s">
        <v>49</v>
      </c>
      <c r="D1" s="77" t="s">
        <v>50</v>
      </c>
    </row>
    <row r="2" spans="1:4" x14ac:dyDescent="0.55000000000000004">
      <c r="A2" s="81" t="s">
        <v>51</v>
      </c>
      <c r="B2" s="79">
        <v>46236</v>
      </c>
      <c r="C2" s="79">
        <v>46332</v>
      </c>
      <c r="D2" s="80">
        <v>95.75</v>
      </c>
    </row>
    <row r="3" spans="1:4" x14ac:dyDescent="0.55000000000000004">
      <c r="A3" s="81" t="s">
        <v>52</v>
      </c>
      <c r="B3" s="79">
        <v>46236</v>
      </c>
      <c r="C3" s="79">
        <v>46240</v>
      </c>
      <c r="D3" s="80">
        <v>3.5</v>
      </c>
    </row>
    <row r="4" spans="1:4" x14ac:dyDescent="0.55000000000000004">
      <c r="A4" s="81" t="s">
        <v>34</v>
      </c>
      <c r="B4" s="79">
        <v>46236</v>
      </c>
      <c r="C4" s="79">
        <v>46236</v>
      </c>
      <c r="D4" s="80">
        <v>0.5</v>
      </c>
    </row>
    <row r="5" spans="1:4" x14ac:dyDescent="0.55000000000000004">
      <c r="A5" s="81" t="s">
        <v>35</v>
      </c>
      <c r="B5" s="79">
        <v>46237</v>
      </c>
      <c r="C5" s="79">
        <v>46237</v>
      </c>
      <c r="D5" s="80">
        <v>1</v>
      </c>
    </row>
    <row r="6" spans="1:4" x14ac:dyDescent="0.55000000000000004">
      <c r="A6" s="81" t="s">
        <v>36</v>
      </c>
      <c r="B6" s="79">
        <v>46238</v>
      </c>
      <c r="C6" s="79">
        <v>46238</v>
      </c>
      <c r="D6" s="80">
        <v>1</v>
      </c>
    </row>
    <row r="7" spans="1:4" x14ac:dyDescent="0.55000000000000004">
      <c r="A7" s="81" t="s">
        <v>37</v>
      </c>
      <c r="B7" s="79">
        <v>46239</v>
      </c>
      <c r="C7" s="79">
        <v>46239</v>
      </c>
      <c r="D7" s="80">
        <v>1</v>
      </c>
    </row>
    <row r="8" spans="1:4" x14ac:dyDescent="0.55000000000000004">
      <c r="A8" s="81" t="s">
        <v>38</v>
      </c>
      <c r="B8" s="79">
        <v>46240</v>
      </c>
      <c r="C8" s="79">
        <v>46240</v>
      </c>
      <c r="D8" s="80">
        <v>0</v>
      </c>
    </row>
    <row r="9" spans="1:4" x14ac:dyDescent="0.55000000000000004">
      <c r="A9" s="81" t="s">
        <v>53</v>
      </c>
      <c r="B9" s="79">
        <v>46241</v>
      </c>
      <c r="C9" s="79">
        <v>46260</v>
      </c>
      <c r="D9" s="80">
        <v>14</v>
      </c>
    </row>
    <row r="10" spans="1:4" x14ac:dyDescent="0.55000000000000004">
      <c r="A10" s="81" t="s">
        <v>39</v>
      </c>
      <c r="B10" s="79">
        <v>46241</v>
      </c>
      <c r="C10" s="79">
        <v>46245</v>
      </c>
      <c r="D10" s="80">
        <v>5</v>
      </c>
    </row>
    <row r="11" spans="1:4" x14ac:dyDescent="0.55000000000000004">
      <c r="A11" s="81" t="s">
        <v>40</v>
      </c>
      <c r="B11" s="79">
        <v>46246</v>
      </c>
      <c r="C11" s="79">
        <v>46252</v>
      </c>
      <c r="D11" s="80">
        <v>7.5</v>
      </c>
    </row>
    <row r="12" spans="1:4" x14ac:dyDescent="0.55000000000000004">
      <c r="A12" s="81" t="s">
        <v>41</v>
      </c>
      <c r="B12" s="79">
        <v>46253</v>
      </c>
      <c r="C12" s="79">
        <v>46253</v>
      </c>
      <c r="D12" s="80">
        <v>1</v>
      </c>
    </row>
    <row r="13" spans="1:4" x14ac:dyDescent="0.55000000000000004">
      <c r="A13" s="81" t="s">
        <v>42</v>
      </c>
      <c r="B13" s="79">
        <v>46254</v>
      </c>
      <c r="C13" s="79">
        <v>46257</v>
      </c>
      <c r="D13" s="80">
        <v>4</v>
      </c>
    </row>
    <row r="14" spans="1:4" x14ac:dyDescent="0.55000000000000004">
      <c r="A14" s="81" t="s">
        <v>43</v>
      </c>
      <c r="B14" s="79">
        <v>46258</v>
      </c>
      <c r="C14" s="79">
        <v>46258</v>
      </c>
      <c r="D14" s="80">
        <v>1</v>
      </c>
    </row>
    <row r="15" spans="1:4" x14ac:dyDescent="0.55000000000000004">
      <c r="A15" s="81" t="s">
        <v>44</v>
      </c>
      <c r="B15" s="79">
        <v>46259</v>
      </c>
      <c r="C15" s="79">
        <v>46259</v>
      </c>
      <c r="D15" s="80">
        <v>1</v>
      </c>
    </row>
    <row r="16" spans="1:4" x14ac:dyDescent="0.55000000000000004">
      <c r="A16" s="81" t="s">
        <v>45</v>
      </c>
      <c r="B16" s="79">
        <v>46260</v>
      </c>
      <c r="C16" s="79">
        <v>46260</v>
      </c>
      <c r="D16" s="80">
        <v>0.5</v>
      </c>
    </row>
    <row r="17" spans="1:4" x14ac:dyDescent="0.55000000000000004">
      <c r="A17" s="81" t="s">
        <v>37</v>
      </c>
      <c r="B17" s="79">
        <v>46260</v>
      </c>
      <c r="C17" s="79">
        <v>46260</v>
      </c>
      <c r="D17" s="80">
        <v>1</v>
      </c>
    </row>
    <row r="18" spans="1:4" x14ac:dyDescent="0.55000000000000004">
      <c r="A18" s="81" t="s">
        <v>46</v>
      </c>
      <c r="B18" s="79">
        <v>46260</v>
      </c>
      <c r="C18" s="79">
        <v>46260</v>
      </c>
      <c r="D18" s="80"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3.5_6.3図解</vt:lpstr>
      <vt:lpstr>3.6_5図解</vt:lpstr>
      <vt:lpstr>3.5_6図解</vt:lpstr>
      <vt:lpstr>Sheet3</vt:lpstr>
      <vt:lpstr>'3.5_6図解'!Print_Area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麻衣子 高橋</dc:creator>
  <cp:lastModifiedBy>麻衣子 高橋</cp:lastModifiedBy>
  <dcterms:created xsi:type="dcterms:W3CDTF">2026-07-09T02:38:57Z</dcterms:created>
  <dcterms:modified xsi:type="dcterms:W3CDTF">2026-07-09T09:09:35Z</dcterms:modified>
</cp:coreProperties>
</file>