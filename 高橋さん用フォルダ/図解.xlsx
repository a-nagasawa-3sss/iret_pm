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iret_pm\高橋さん用フォルダ\"/>
    </mc:Choice>
  </mc:AlternateContent>
  <xr:revisionPtr revIDLastSave="0" documentId="13_ncr:1_{136F4520-C606-4DB8-B640-0E0DDC0BF441}" xr6:coauthVersionLast="47" xr6:coauthVersionMax="47" xr10:uidLastSave="{00000000-0000-0000-0000-000000000000}"/>
  <bookViews>
    <workbookView xWindow="-110" yWindow="-110" windowWidth="22620" windowHeight="13500" xr2:uid="{048F0377-5F86-481C-B78B-CC2C2E2E164F}"/>
  </bookViews>
  <sheets>
    <sheet name="8_図解" sheetId="6" r:id="rId1"/>
    <sheet name="8_1図解" sheetId="7" r:id="rId2"/>
    <sheet name="3.5_6.3図解" sheetId="1" r:id="rId3"/>
    <sheet name="3.6_5図解" sheetId="2" r:id="rId4"/>
    <sheet name="3.5_6図解" sheetId="5" r:id="rId5"/>
    <sheet name="Sheet3" sheetId="3" state="hidden" r:id="rId6"/>
  </sheets>
  <definedNames>
    <definedName name="_xlnm.Print_Area" localSheetId="4">'3.5_6図解'!$B$1:$AO$23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D6" i="5"/>
  <c r="G5" i="5"/>
  <c r="H5" i="5" s="1"/>
  <c r="I5" i="5" s="1"/>
  <c r="J5" i="5" s="1"/>
  <c r="K5" i="5" s="1"/>
  <c r="L5" i="5" s="1"/>
  <c r="M5" i="5" s="1"/>
  <c r="N5" i="5" s="1"/>
  <c r="G4" i="5"/>
  <c r="N4" i="5" l="1"/>
  <c r="O5" i="5"/>
  <c r="P5" i="5" s="1"/>
  <c r="Q5" i="5" s="1"/>
  <c r="R5" i="5" s="1"/>
  <c r="S5" i="5" s="1"/>
  <c r="T5" i="5" s="1"/>
  <c r="U5" i="5" s="1"/>
  <c r="V5" i="5" l="1"/>
  <c r="W5" i="5" s="1"/>
  <c r="X5" i="5" s="1"/>
  <c r="Y5" i="5" s="1"/>
  <c r="Z5" i="5" s="1"/>
  <c r="AA5" i="5" s="1"/>
  <c r="AB5" i="5" s="1"/>
  <c r="U4" i="5"/>
  <c r="AB4" i="5" l="1"/>
  <c r="AC5" i="5"/>
  <c r="AD5" i="5" s="1"/>
  <c r="AE5" i="5" s="1"/>
  <c r="AF5" i="5" s="1"/>
  <c r="AG5" i="5" s="1"/>
  <c r="AH5" i="5" s="1"/>
  <c r="AI5" i="5" s="1"/>
  <c r="AJ5" i="5" l="1"/>
  <c r="AK5" i="5" s="1"/>
  <c r="AL5" i="5" s="1"/>
  <c r="AM5" i="5" s="1"/>
  <c r="AN5" i="5" s="1"/>
  <c r="AO5" i="5" s="1"/>
  <c r="AP5" i="5" s="1"/>
  <c r="AI4" i="5"/>
  <c r="AP4" i="5" l="1"/>
  <c r="AQ5" i="5"/>
  <c r="AR5" i="5" s="1"/>
  <c r="AS5" i="5" s="1"/>
  <c r="AT5" i="5" s="1"/>
  <c r="AU5" i="5" s="1"/>
  <c r="AV5" i="5" s="1"/>
  <c r="AW5" i="5" s="1"/>
  <c r="AW4" i="5" l="1"/>
  <c r="AX5" i="5"/>
  <c r="AY5" i="5" s="1"/>
  <c r="AZ5" i="5" s="1"/>
  <c r="BA5" i="5" s="1"/>
  <c r="BB5" i="5" s="1"/>
  <c r="BC5" i="5" s="1"/>
  <c r="BD5" i="5" s="1"/>
  <c r="BE5" i="5" l="1"/>
  <c r="BF5" i="5" s="1"/>
  <c r="BG5" i="5" s="1"/>
  <c r="BH5" i="5" s="1"/>
  <c r="BI5" i="5" s="1"/>
  <c r="BJ5" i="5" s="1"/>
  <c r="BK5" i="5" s="1"/>
  <c r="BD4" i="5"/>
  <c r="BL5" i="5" l="1"/>
  <c r="BM5" i="5" s="1"/>
  <c r="BN5" i="5" s="1"/>
  <c r="BO5" i="5" s="1"/>
  <c r="BP5" i="5" s="1"/>
  <c r="BQ5" i="5" s="1"/>
  <c r="BR5" i="5" s="1"/>
  <c r="BK4" i="5"/>
  <c r="BS5" i="5" l="1"/>
  <c r="BT5" i="5" s="1"/>
  <c r="BU5" i="5" s="1"/>
  <c r="BV5" i="5" s="1"/>
  <c r="BW5" i="5" s="1"/>
  <c r="BX5" i="5" s="1"/>
  <c r="BY5" i="5" s="1"/>
  <c r="BR4" i="5"/>
  <c r="BZ5" i="5" l="1"/>
  <c r="CA5" i="5" s="1"/>
  <c r="CB5" i="5" s="1"/>
  <c r="CC5" i="5" s="1"/>
  <c r="CD5" i="5" s="1"/>
  <c r="CE5" i="5" s="1"/>
  <c r="CF5" i="5" s="1"/>
  <c r="BY4" i="5"/>
  <c r="CF4" i="5" l="1"/>
  <c r="CG5" i="5"/>
  <c r="CH5" i="5" s="1"/>
  <c r="CI5" i="5" s="1"/>
  <c r="CJ5" i="5" s="1"/>
  <c r="CK5" i="5" s="1"/>
  <c r="CL5" i="5" s="1"/>
  <c r="CM5" i="5" s="1"/>
  <c r="CM4" i="5" l="1"/>
  <c r="CN5" i="5"/>
  <c r="CO5" i="5" s="1"/>
  <c r="CP5" i="5" s="1"/>
  <c r="CQ5" i="5" s="1"/>
  <c r="CR5" i="5" s="1"/>
  <c r="CS5" i="5" s="1"/>
</calcChain>
</file>

<file path=xl/sharedStrings.xml><?xml version="1.0" encoding="utf-8"?>
<sst xmlns="http://schemas.openxmlformats.org/spreadsheetml/2006/main" count="127" uniqueCount="82">
  <si>
    <t>List</t>
    <phoneticPr fontId="1"/>
  </si>
  <si>
    <t>Start Day</t>
    <phoneticPr fontId="1"/>
  </si>
  <si>
    <t>End Day</t>
    <phoneticPr fontId="1"/>
  </si>
  <si>
    <t>Progress</t>
    <phoneticPr fontId="1"/>
  </si>
  <si>
    <t>WK1</t>
    <phoneticPr fontId="1"/>
  </si>
  <si>
    <t>WK2</t>
    <phoneticPr fontId="1"/>
  </si>
  <si>
    <t>WK3</t>
    <phoneticPr fontId="1"/>
  </si>
  <si>
    <t>WK4</t>
    <phoneticPr fontId="1"/>
  </si>
  <si>
    <t>WK5</t>
    <phoneticPr fontId="1"/>
  </si>
  <si>
    <t>~more</t>
    <phoneticPr fontId="1"/>
  </si>
  <si>
    <t>task1</t>
    <phoneticPr fontId="1"/>
  </si>
  <si>
    <t>task2</t>
    <phoneticPr fontId="1"/>
  </si>
  <si>
    <t>task3</t>
    <phoneticPr fontId="1"/>
  </si>
  <si>
    <t>task4</t>
    <phoneticPr fontId="1"/>
  </si>
  <si>
    <t>task5</t>
    <phoneticPr fontId="1"/>
  </si>
  <si>
    <t>task6</t>
    <phoneticPr fontId="1"/>
  </si>
  <si>
    <t>task7</t>
    <phoneticPr fontId="1"/>
  </si>
  <si>
    <t>task8</t>
    <phoneticPr fontId="1"/>
  </si>
  <si>
    <t>task9</t>
    <phoneticPr fontId="1"/>
  </si>
  <si>
    <t>202X/XX/XX</t>
    <phoneticPr fontId="1"/>
  </si>
  <si>
    <t>Submission</t>
    <phoneticPr fontId="1"/>
  </si>
  <si>
    <t>Project ID</t>
    <phoneticPr fontId="1"/>
  </si>
  <si>
    <t>Progect Name</t>
    <phoneticPr fontId="1"/>
  </si>
  <si>
    <t>Project Duration</t>
    <phoneticPr fontId="1"/>
  </si>
  <si>
    <t>52weeks</t>
    <phoneticPr fontId="1"/>
  </si>
  <si>
    <t>Project Stage</t>
    <phoneticPr fontId="1"/>
  </si>
  <si>
    <t>Project Status</t>
    <phoneticPr fontId="1"/>
  </si>
  <si>
    <t>%of Completion</t>
    <phoneticPr fontId="1"/>
  </si>
  <si>
    <t>発生確率</t>
    <rPh sb="0" eb="2">
      <t>ハッセイ</t>
    </rPh>
    <rPh sb="2" eb="4">
      <t>カクリツ</t>
    </rPh>
    <phoneticPr fontId="1"/>
  </si>
  <si>
    <t>好機</t>
    <rPh sb="0" eb="2">
      <t>コウキ</t>
    </rPh>
    <phoneticPr fontId="1"/>
  </si>
  <si>
    <t>脅威</t>
    <rPh sb="0" eb="2">
      <t>キョウイ</t>
    </rPh>
    <phoneticPr fontId="1"/>
  </si>
  <si>
    <t>(P)</t>
    <phoneticPr fontId="1"/>
  </si>
  <si>
    <t xml:space="preserve">        プロジェクト スコープの決定</t>
  </si>
  <si>
    <t xml:space="preserve">        スポンサーの確保</t>
  </si>
  <si>
    <t xml:space="preserve">        リソースの定義</t>
  </si>
  <si>
    <t xml:space="preserve">        中核人員の確保</t>
  </si>
  <si>
    <t xml:space="preserve">        スコープ確定作業の完了</t>
  </si>
  <si>
    <t xml:space="preserve">        ニーズ分析の実施</t>
  </si>
  <si>
    <t xml:space="preserve">        ソフトウェアドラフト仕様の作成</t>
  </si>
  <si>
    <t xml:space="preserve">        予算の定義</t>
  </si>
  <si>
    <t xml:space="preserve">        ソフトウェア仕様を作成するチーム</t>
  </si>
  <si>
    <t xml:space="preserve">        ソフトウェア仕様に対するレビュー</t>
  </si>
  <si>
    <t xml:space="preserve">        承認の取得</t>
  </si>
  <si>
    <t xml:space="preserve">        機能の定義（スケジュール）</t>
  </si>
  <si>
    <t xml:space="preserve">        分析完了</t>
  </si>
  <si>
    <t>タスク名</t>
  </si>
  <si>
    <t>開始日</t>
  </si>
  <si>
    <t>終了日</t>
  </si>
  <si>
    <t>日数</t>
    <rPh sb="0" eb="2">
      <t>ニッスウ</t>
    </rPh>
    <phoneticPr fontId="1"/>
  </si>
  <si>
    <t>ソフトウェア開発</t>
    <phoneticPr fontId="1"/>
  </si>
  <si>
    <t xml:space="preserve">    スコープ確定作業</t>
    <phoneticPr fontId="1"/>
  </si>
  <si>
    <t xml:space="preserve">    ソフトウェア要件の分析</t>
    <phoneticPr fontId="1"/>
  </si>
  <si>
    <t>ソフトウェア開発</t>
    <phoneticPr fontId="5"/>
  </si>
  <si>
    <t>開始日</t>
    <rPh sb="0" eb="3">
      <t>カイシビ</t>
    </rPh>
    <phoneticPr fontId="5"/>
  </si>
  <si>
    <t>終了日</t>
    <rPh sb="0" eb="3">
      <t>シュウリョウビ</t>
    </rPh>
    <phoneticPr fontId="5"/>
  </si>
  <si>
    <t>タスク</t>
    <phoneticPr fontId="5"/>
  </si>
  <si>
    <t>担当者</t>
    <rPh sb="0" eb="3">
      <t>タントウシャ</t>
    </rPh>
    <phoneticPr fontId="5"/>
  </si>
  <si>
    <t>工数</t>
    <rPh sb="0" eb="2">
      <t>コウスウ</t>
    </rPh>
    <phoneticPr fontId="5"/>
  </si>
  <si>
    <t>完了日</t>
    <rPh sb="0" eb="3">
      <t>カンリョウビ</t>
    </rPh>
    <phoneticPr fontId="5"/>
  </si>
  <si>
    <t xml:space="preserve">    スコープ確定作業</t>
    <phoneticPr fontId="5"/>
  </si>
  <si>
    <t xml:space="preserve">  ソフトウェア要件の分析</t>
    <phoneticPr fontId="5"/>
  </si>
  <si>
    <t>キーパートナー</t>
    <phoneticPr fontId="1"/>
  </si>
  <si>
    <t>キーアクティビティ</t>
    <phoneticPr fontId="1"/>
  </si>
  <si>
    <t>与える価値</t>
    <rPh sb="0" eb="1">
      <t>アタ</t>
    </rPh>
    <rPh sb="3" eb="5">
      <t>カチ</t>
    </rPh>
    <phoneticPr fontId="1"/>
  </si>
  <si>
    <t>顧客との関係</t>
    <rPh sb="0" eb="2">
      <t>コキャク</t>
    </rPh>
    <rPh sb="4" eb="6">
      <t>カンケイ</t>
    </rPh>
    <phoneticPr fontId="1"/>
  </si>
  <si>
    <t>顧客</t>
    <rPh sb="0" eb="2">
      <t>コキャク</t>
    </rPh>
    <phoneticPr fontId="1"/>
  </si>
  <si>
    <t>キーリソース</t>
    <phoneticPr fontId="1"/>
  </si>
  <si>
    <t>チャネル</t>
    <phoneticPr fontId="1"/>
  </si>
  <si>
    <t>コスト</t>
    <phoneticPr fontId="1"/>
  </si>
  <si>
    <t>収入</t>
    <rPh sb="0" eb="2">
      <t>シュウニュウ</t>
    </rPh>
    <phoneticPr fontId="1"/>
  </si>
  <si>
    <t>(Channels)</t>
  </si>
  <si>
    <t>(Customers)</t>
  </si>
  <si>
    <t>(Costs)</t>
  </si>
  <si>
    <t>(Revenue)</t>
  </si>
  <si>
    <r>
      <rPr>
        <b/>
        <sz val="12"/>
        <color theme="1"/>
        <rFont val="游ゴシック"/>
        <family val="3"/>
        <charset val="128"/>
        <scheme val="minor"/>
      </rPr>
      <t>Projet Start Day</t>
    </r>
    <r>
      <rPr>
        <sz val="12"/>
        <color theme="1"/>
        <rFont val="游ゴシック"/>
        <family val="3"/>
        <charset val="128"/>
        <scheme val="minor"/>
      </rPr>
      <t>：202X/XX/XX</t>
    </r>
    <phoneticPr fontId="1"/>
  </si>
  <si>
    <r>
      <rPr>
        <b/>
        <sz val="12"/>
        <color theme="1"/>
        <rFont val="游ゴシック"/>
        <family val="3"/>
        <charset val="128"/>
        <scheme val="minor"/>
      </rPr>
      <t>Projet End Day</t>
    </r>
    <r>
      <rPr>
        <sz val="12"/>
        <color theme="1"/>
        <rFont val="游ゴシック"/>
        <family val="3"/>
        <charset val="128"/>
        <scheme val="minor"/>
      </rPr>
      <t>：202X/XX/XX</t>
    </r>
    <phoneticPr fontId="1"/>
  </si>
  <si>
    <t>(Key Partners)</t>
  </si>
  <si>
    <t>(Key Activities)</t>
  </si>
  <si>
    <t xml:space="preserve">(Value Provided) </t>
  </si>
  <si>
    <t>(Customer</t>
    <phoneticPr fontId="1"/>
  </si>
  <si>
    <t>Relationships)</t>
  </si>
  <si>
    <t>(Key Resources)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</si>
</sst>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"/>
    <numFmt numFmtId="177" formatCode="d"/>
    <numFmt numFmtId="178" formatCode="0\ &quot;日&quot;"/>
  </numFmts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明朝"/>
      <family val="2"/>
      <charset val="128"/>
    </font>
    <font>
      <sz val="18"/>
      <color theme="1"/>
      <name val="游明朝"/>
      <family val="2"/>
      <charset val="128"/>
    </font>
    <font>
      <sz val="6"/>
      <name val="游明朝"/>
      <family val="2"/>
      <charset val="128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明朝"/>
      <family val="1"/>
      <charset val="128"/>
    </font>
    <font>
      <sz val="14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14"/>
      <name val="游明朝"/>
      <family val="1"/>
      <charset val="128"/>
    </font>
    <font>
      <sz val="12"/>
      <color theme="1"/>
      <name val="游明朝"/>
      <family val="2"/>
      <charset val="128"/>
    </font>
    <font>
      <sz val="14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1"/>
      </top>
      <bottom style="thin">
        <color theme="0" tint="-0.249977111117893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0" tint="-0.249977111117893"/>
      </bottom>
      <diagonal/>
    </border>
    <border>
      <left style="medium">
        <color theme="1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medium">
        <color theme="1"/>
      </right>
      <top/>
      <bottom style="double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 style="double">
        <color theme="1"/>
      </bottom>
      <diagonal/>
    </border>
    <border>
      <left style="medium">
        <color theme="1"/>
      </left>
      <right/>
      <top style="thin">
        <color theme="0" tint="-0.249977111117893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 style="thin">
        <color theme="0" tint="-0.249977111117893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theme="1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3" fillId="0" borderId="0" xfId="1">
      <alignment vertical="center"/>
    </xf>
    <xf numFmtId="0" fontId="3" fillId="0" borderId="0" xfId="1" applyAlignment="1">
      <alignment horizontal="left"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0" fontId="0" fillId="0" borderId="67" xfId="0" applyBorder="1">
      <alignment vertical="center"/>
    </xf>
    <xf numFmtId="0" fontId="0" fillId="0" borderId="68" xfId="0" applyBorder="1">
      <alignment vertical="center"/>
    </xf>
    <xf numFmtId="0" fontId="0" fillId="0" borderId="69" xfId="0" applyBorder="1">
      <alignment vertical="center"/>
    </xf>
    <xf numFmtId="0" fontId="4" fillId="0" borderId="0" xfId="1" applyFont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6" fillId="0" borderId="32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33" xfId="0" applyFont="1" applyBorder="1">
      <alignment vertical="center"/>
    </xf>
    <xf numFmtId="0" fontId="7" fillId="0" borderId="38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38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35" xfId="0" applyFont="1" applyBorder="1">
      <alignment vertical="center"/>
    </xf>
    <xf numFmtId="0" fontId="6" fillId="0" borderId="36" xfId="0" applyFont="1" applyBorder="1">
      <alignment vertical="center"/>
    </xf>
    <xf numFmtId="0" fontId="6" fillId="0" borderId="39" xfId="0" applyFont="1" applyBorder="1">
      <alignment vertical="center"/>
    </xf>
    <xf numFmtId="0" fontId="6" fillId="0" borderId="40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45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8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22" xfId="0" applyFont="1" applyBorder="1">
      <alignment vertical="center"/>
    </xf>
    <xf numFmtId="9" fontId="6" fillId="0" borderId="22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46" xfId="0" applyFont="1" applyBorder="1">
      <alignment vertical="center"/>
    </xf>
    <xf numFmtId="0" fontId="6" fillId="0" borderId="41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47" xfId="0" applyFont="1" applyBorder="1">
      <alignment vertical="center"/>
    </xf>
    <xf numFmtId="0" fontId="6" fillId="0" borderId="42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3" xfId="0" applyFont="1" applyBorder="1">
      <alignment vertical="center"/>
    </xf>
    <xf numFmtId="9" fontId="6" fillId="0" borderId="3" xfId="0" applyNumberFormat="1" applyFont="1" applyBorder="1">
      <alignment vertical="center"/>
    </xf>
    <xf numFmtId="0" fontId="6" fillId="0" borderId="14" xfId="0" applyFont="1" applyBorder="1">
      <alignment vertical="center"/>
    </xf>
    <xf numFmtId="0" fontId="6" fillId="0" borderId="48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43" xfId="0" applyFont="1" applyBorder="1">
      <alignment vertical="center"/>
    </xf>
    <xf numFmtId="0" fontId="6" fillId="0" borderId="44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49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50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51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52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53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0" xfId="0" applyFont="1">
      <alignment vertical="center"/>
    </xf>
    <xf numFmtId="0" fontId="7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7" fillId="0" borderId="37" xfId="0" applyFont="1" applyBorder="1">
      <alignment vertical="center"/>
    </xf>
    <xf numFmtId="0" fontId="7" fillId="0" borderId="30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2" fontId="9" fillId="0" borderId="32" xfId="0" applyNumberFormat="1" applyFont="1" applyBorder="1" applyAlignment="1">
      <alignment horizontal="center" vertical="center"/>
    </xf>
    <xf numFmtId="0" fontId="8" fillId="3" borderId="5" xfId="0" applyFont="1" applyFill="1" applyBorder="1">
      <alignment vertical="center"/>
    </xf>
    <xf numFmtId="0" fontId="8" fillId="0" borderId="5" xfId="0" applyFont="1" applyBorder="1">
      <alignment vertical="center"/>
    </xf>
    <xf numFmtId="0" fontId="8" fillId="2" borderId="5" xfId="0" applyFont="1" applyFill="1" applyBorder="1">
      <alignment vertical="center"/>
    </xf>
    <xf numFmtId="0" fontId="8" fillId="3" borderId="33" xfId="0" applyFont="1" applyFill="1" applyBorder="1">
      <alignment vertical="center"/>
    </xf>
    <xf numFmtId="2" fontId="8" fillId="0" borderId="5" xfId="0" applyNumberFormat="1" applyFont="1" applyBorder="1">
      <alignment vertical="center"/>
    </xf>
    <xf numFmtId="2" fontId="8" fillId="2" borderId="5" xfId="0" applyNumberFormat="1" applyFont="1" applyFill="1" applyBorder="1">
      <alignment vertical="center"/>
    </xf>
    <xf numFmtId="2" fontId="8" fillId="0" borderId="34" xfId="0" applyNumberFormat="1" applyFont="1" applyBorder="1">
      <alignment vertical="center"/>
    </xf>
    <xf numFmtId="0" fontId="8" fillId="0" borderId="35" xfId="0" applyFont="1" applyBorder="1">
      <alignment vertical="center"/>
    </xf>
    <xf numFmtId="2" fontId="8" fillId="0" borderId="35" xfId="0" applyNumberFormat="1" applyFont="1" applyBorder="1">
      <alignment vertical="center"/>
    </xf>
    <xf numFmtId="0" fontId="8" fillId="0" borderId="36" xfId="0" applyFont="1" applyBorder="1">
      <alignment vertical="center"/>
    </xf>
    <xf numFmtId="2" fontId="8" fillId="0" borderId="0" xfId="0" applyNumberFormat="1" applyFont="1">
      <alignment vertical="center"/>
    </xf>
    <xf numFmtId="0" fontId="11" fillId="4" borderId="55" xfId="1" applyFont="1" applyFill="1" applyBorder="1" applyAlignment="1">
      <alignment horizontal="center" vertical="center"/>
    </xf>
    <xf numFmtId="0" fontId="11" fillId="4" borderId="56" xfId="1" applyFont="1" applyFill="1" applyBorder="1" applyAlignment="1">
      <alignment horizontal="center" vertical="center"/>
    </xf>
    <xf numFmtId="0" fontId="11" fillId="4" borderId="57" xfId="1" applyFont="1" applyFill="1" applyBorder="1" applyAlignment="1">
      <alignment horizontal="center" vertical="center"/>
    </xf>
    <xf numFmtId="176" fontId="11" fillId="5" borderId="57" xfId="1" applyNumberFormat="1" applyFont="1" applyFill="1" applyBorder="1" applyAlignment="1">
      <alignment horizontal="left" vertical="center" indent="1"/>
    </xf>
    <xf numFmtId="176" fontId="11" fillId="5" borderId="58" xfId="1" applyNumberFormat="1" applyFont="1" applyFill="1" applyBorder="1" applyAlignment="1">
      <alignment horizontal="left" vertical="center" indent="1"/>
    </xf>
    <xf numFmtId="176" fontId="11" fillId="5" borderId="59" xfId="1" applyNumberFormat="1" applyFont="1" applyFill="1" applyBorder="1" applyAlignment="1">
      <alignment horizontal="left" vertical="center" indent="1"/>
    </xf>
    <xf numFmtId="0" fontId="11" fillId="0" borderId="0" xfId="1" applyFont="1">
      <alignment vertical="center"/>
    </xf>
    <xf numFmtId="0" fontId="11" fillId="4" borderId="61" xfId="1" applyFont="1" applyFill="1" applyBorder="1" applyAlignment="1">
      <alignment horizontal="center" vertical="center"/>
    </xf>
    <xf numFmtId="177" fontId="11" fillId="0" borderId="60" xfId="1" applyNumberFormat="1" applyFont="1" applyBorder="1" applyAlignment="1">
      <alignment horizontal="center" vertical="center"/>
    </xf>
    <xf numFmtId="0" fontId="12" fillId="6" borderId="57" xfId="1" applyFont="1" applyFill="1" applyBorder="1">
      <alignment vertical="center"/>
    </xf>
    <xf numFmtId="0" fontId="12" fillId="6" borderId="5" xfId="1" applyFont="1" applyFill="1" applyBorder="1">
      <alignment vertical="center"/>
    </xf>
    <xf numFmtId="178" fontId="12" fillId="6" borderId="5" xfId="1" applyNumberFormat="1" applyFont="1" applyFill="1" applyBorder="1">
      <alignment vertical="center"/>
    </xf>
    <xf numFmtId="14" fontId="12" fillId="6" borderId="5" xfId="1" applyNumberFormat="1" applyFont="1" applyFill="1" applyBorder="1">
      <alignment vertical="center"/>
    </xf>
    <xf numFmtId="0" fontId="11" fillId="0" borderId="59" xfId="1" applyFont="1" applyBorder="1" applyAlignment="1">
      <alignment horizontal="center" vertical="center"/>
    </xf>
    <xf numFmtId="0" fontId="11" fillId="0" borderId="55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1" fillId="0" borderId="60" xfId="1" applyFont="1" applyBorder="1">
      <alignment vertical="center"/>
    </xf>
    <xf numFmtId="178" fontId="11" fillId="0" borderId="60" xfId="1" applyNumberFormat="1" applyFont="1" applyBorder="1">
      <alignment vertical="center"/>
    </xf>
    <xf numFmtId="14" fontId="11" fillId="0" borderId="60" xfId="1" applyNumberFormat="1" applyFont="1" applyBorder="1">
      <alignment vertical="center"/>
    </xf>
    <xf numFmtId="0" fontId="11" fillId="0" borderId="55" xfId="1" applyFont="1" applyBorder="1">
      <alignment vertical="center"/>
    </xf>
    <xf numFmtId="178" fontId="11" fillId="0" borderId="55" xfId="1" applyNumberFormat="1" applyFont="1" applyBorder="1">
      <alignment vertical="center"/>
    </xf>
    <xf numFmtId="14" fontId="11" fillId="0" borderId="55" xfId="1" applyNumberFormat="1" applyFont="1" applyBorder="1">
      <alignment vertical="center"/>
    </xf>
    <xf numFmtId="0" fontId="11" fillId="0" borderId="56" xfId="1" applyFont="1" applyBorder="1">
      <alignment vertical="center"/>
    </xf>
    <xf numFmtId="178" fontId="11" fillId="0" borderId="56" xfId="1" applyNumberFormat="1" applyFont="1" applyBorder="1">
      <alignment vertical="center"/>
    </xf>
    <xf numFmtId="14" fontId="11" fillId="0" borderId="56" xfId="1" applyNumberFormat="1" applyFont="1" applyBorder="1">
      <alignment vertical="center"/>
    </xf>
    <xf numFmtId="0" fontId="13" fillId="0" borderId="57" xfId="1" applyFont="1" applyBorder="1" applyAlignment="1">
      <alignment horizontal="center" vertical="center"/>
    </xf>
    <xf numFmtId="20" fontId="11" fillId="0" borderId="55" xfId="1" applyNumberFormat="1" applyFont="1" applyBorder="1" applyAlignment="1">
      <alignment horizontal="center" vertical="center"/>
    </xf>
    <xf numFmtId="0" fontId="13" fillId="0" borderId="55" xfId="1" applyFont="1" applyBorder="1">
      <alignment vertical="center"/>
    </xf>
    <xf numFmtId="178" fontId="13" fillId="0" borderId="55" xfId="1" applyNumberFormat="1" applyFont="1" applyBorder="1">
      <alignment vertical="center"/>
    </xf>
    <xf numFmtId="14" fontId="13" fillId="0" borderId="55" xfId="1" applyNumberFormat="1" applyFont="1" applyBorder="1">
      <alignment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14" fontId="10" fillId="0" borderId="54" xfId="1" applyNumberFormat="1" applyFont="1" applyBorder="1" applyAlignment="1">
      <alignment horizontal="center" vertical="center"/>
    </xf>
    <xf numFmtId="0" fontId="15" fillId="0" borderId="62" xfId="0" applyFont="1" applyBorder="1">
      <alignment vertical="center"/>
    </xf>
    <xf numFmtId="0" fontId="8" fillId="0" borderId="63" xfId="0" applyFont="1" applyBorder="1">
      <alignment vertical="center"/>
    </xf>
    <xf numFmtId="0" fontId="8" fillId="0" borderId="64" xfId="0" applyFont="1" applyBorder="1">
      <alignment vertical="center"/>
    </xf>
    <xf numFmtId="0" fontId="8" fillId="0" borderId="65" xfId="0" applyFont="1" applyBorder="1">
      <alignment vertical="center"/>
    </xf>
    <xf numFmtId="0" fontId="8" fillId="0" borderId="66" xfId="0" applyFont="1" applyBorder="1">
      <alignment vertical="center"/>
    </xf>
    <xf numFmtId="0" fontId="15" fillId="0" borderId="0" xfId="0" applyFont="1">
      <alignment vertical="center"/>
    </xf>
  </cellXfs>
  <cellStyles count="2">
    <cellStyle name="標準" xfId="0" builtinId="0"/>
    <cellStyle name="標準 2" xfId="1" xr:uid="{A7789D78-5A0D-4F38-85E6-F4F2BEF55F8B}"/>
  </cellStyles>
  <dxfs count="1">
    <dxf>
      <fill>
        <patternFill>
          <bgColor theme="3" tint="0.39994506668294322"/>
        </patternFill>
      </fill>
      <border>
        <left/>
        <right/>
        <top style="thin">
          <color theme="1" tint="0.499984740745262"/>
        </top>
        <bottom style="thin">
          <color theme="1" tint="0.499984740745262"/>
        </bottom>
      </border>
    </dxf>
  </dxfs>
  <tableStyles count="0" defaultTableStyle="TableStyleMedium2" defaultPivotStyle="PivotStyleLight16"/>
  <colors>
    <mruColors>
      <color rgb="FFF9B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57151</xdr:rowOff>
    </xdr:from>
    <xdr:to>
      <xdr:col>5</xdr:col>
      <xdr:colOff>228600</xdr:colOff>
      <xdr:row>11</xdr:row>
      <xdr:rowOff>22667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11B3C02-E178-4E30-802E-0C9B1404649A}"/>
            </a:ext>
          </a:extLst>
        </xdr:cNvPr>
        <xdr:cNvSpPr txBox="1"/>
      </xdr:nvSpPr>
      <xdr:spPr>
        <a:xfrm>
          <a:off x="584200" y="1663701"/>
          <a:ext cx="1555750" cy="1114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外部に委託 される活動 や、外部か ら調達され るリソース</a:t>
          </a:r>
          <a:endParaRPr kumimoji="1" lang="ja-JP" altLang="en-US" sz="1200"/>
        </a:p>
      </xdr:txBody>
    </xdr:sp>
    <xdr:clientData/>
  </xdr:twoCellAnchor>
  <xdr:twoCellAnchor>
    <xdr:from>
      <xdr:col>6</xdr:col>
      <xdr:colOff>50800</xdr:colOff>
      <xdr:row>2</xdr:row>
      <xdr:rowOff>177801</xdr:rowOff>
    </xdr:from>
    <xdr:to>
      <xdr:col>11</xdr:col>
      <xdr:colOff>241300</xdr:colOff>
      <xdr:row>7</xdr:row>
      <xdr:rowOff>202477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747F722-2534-4376-8462-C9B10A4B2A74}"/>
            </a:ext>
          </a:extLst>
        </xdr:cNvPr>
        <xdr:cNvSpPr txBox="1"/>
      </xdr:nvSpPr>
      <xdr:spPr>
        <a:xfrm>
          <a:off x="2235200" y="869951"/>
          <a:ext cx="1555750" cy="11676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ビジネスモデ ルが機能する よう組織が取 組まなければ ならない活動</a:t>
          </a:r>
          <a:endParaRPr kumimoji="1" lang="ja-JP" altLang="en-US" sz="1200"/>
        </a:p>
      </xdr:txBody>
    </xdr:sp>
    <xdr:clientData/>
  </xdr:twoCellAnchor>
  <xdr:twoCellAnchor>
    <xdr:from>
      <xdr:col>6</xdr:col>
      <xdr:colOff>44450</xdr:colOff>
      <xdr:row>11</xdr:row>
      <xdr:rowOff>222251</xdr:rowOff>
    </xdr:from>
    <xdr:to>
      <xdr:col>11</xdr:col>
      <xdr:colOff>234950</xdr:colOff>
      <xdr:row>16</xdr:row>
      <xdr:rowOff>194117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8AB601E-1176-4D4C-A5BC-2F3906F31550}"/>
            </a:ext>
          </a:extLst>
        </xdr:cNvPr>
        <xdr:cNvSpPr txBox="1"/>
      </xdr:nvSpPr>
      <xdr:spPr>
        <a:xfrm>
          <a:off x="2228850" y="2978151"/>
          <a:ext cx="1555750" cy="1114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ここにあげた要 素を提供するの に必要となる資 源</a:t>
          </a:r>
          <a:endParaRPr kumimoji="1" lang="ja-JP" altLang="en-US" sz="1200"/>
        </a:p>
      </xdr:txBody>
    </xdr:sp>
    <xdr:clientData/>
  </xdr:twoCellAnchor>
  <xdr:twoCellAnchor>
    <xdr:from>
      <xdr:col>12</xdr:col>
      <xdr:colOff>82550</xdr:colOff>
      <xdr:row>3</xdr:row>
      <xdr:rowOff>57151</xdr:rowOff>
    </xdr:from>
    <xdr:to>
      <xdr:col>17</xdr:col>
      <xdr:colOff>203200</xdr:colOff>
      <xdr:row>8</xdr:row>
      <xdr:rowOff>29017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FB47EC3-A58F-4679-9F9D-AA5121BED721}"/>
            </a:ext>
          </a:extLst>
        </xdr:cNvPr>
        <xdr:cNvSpPr txBox="1"/>
      </xdr:nvSpPr>
      <xdr:spPr>
        <a:xfrm>
          <a:off x="3905250" y="1092201"/>
          <a:ext cx="1485900" cy="1114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顧客の抱え る問題を解 決し、ニー ズを満たす もの </a:t>
          </a:r>
          <a:endParaRPr kumimoji="1" lang="ja-JP" altLang="en-US" sz="1200"/>
        </a:p>
      </xdr:txBody>
    </xdr:sp>
    <xdr:clientData/>
  </xdr:twoCellAnchor>
  <xdr:twoCellAnchor>
    <xdr:from>
      <xdr:col>18</xdr:col>
      <xdr:colOff>69850</xdr:colOff>
      <xdr:row>3</xdr:row>
      <xdr:rowOff>146051</xdr:rowOff>
    </xdr:from>
    <xdr:to>
      <xdr:col>23</xdr:col>
      <xdr:colOff>260350</xdr:colOff>
      <xdr:row>8</xdr:row>
      <xdr:rowOff>117917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948CF7C-4103-4061-A4AF-3B88AA4263B0}"/>
            </a:ext>
          </a:extLst>
        </xdr:cNvPr>
        <xdr:cNvSpPr txBox="1"/>
      </xdr:nvSpPr>
      <xdr:spPr>
        <a:xfrm>
          <a:off x="5530850" y="1181101"/>
          <a:ext cx="1555750" cy="1114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顧客との関係性 を構築、維持、展 開するための 様々な仕組み</a:t>
          </a:r>
          <a:endParaRPr kumimoji="1" lang="ja-JP" altLang="en-US" sz="1200"/>
        </a:p>
      </xdr:txBody>
    </xdr:sp>
    <xdr:clientData/>
  </xdr:twoCellAnchor>
  <xdr:twoCellAnchor>
    <xdr:from>
      <xdr:col>18</xdr:col>
      <xdr:colOff>57150</xdr:colOff>
      <xdr:row>11</xdr:row>
      <xdr:rowOff>63500</xdr:rowOff>
    </xdr:from>
    <xdr:to>
      <xdr:col>23</xdr:col>
      <xdr:colOff>247650</xdr:colOff>
      <xdr:row>17</xdr:row>
      <xdr:rowOff>82550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075C3DF-8BF4-44A0-BA39-E067521D7091}"/>
            </a:ext>
          </a:extLst>
        </xdr:cNvPr>
        <xdr:cNvSpPr txBox="1"/>
      </xdr:nvSpPr>
      <xdr:spPr>
        <a:xfrm>
          <a:off x="5518150" y="2819400"/>
          <a:ext cx="1555750" cy="139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顧客の求める価値を 提供していることを告 知する方法、その価 値を届ける様々な ルート </a:t>
          </a:r>
          <a:endParaRPr kumimoji="1" lang="ja-JP" altLang="en-US" sz="1200"/>
        </a:p>
      </xdr:txBody>
    </xdr:sp>
    <xdr:clientData/>
  </xdr:twoCellAnchor>
  <xdr:twoCellAnchor>
    <xdr:from>
      <xdr:col>24</xdr:col>
      <xdr:colOff>69850</xdr:colOff>
      <xdr:row>3</xdr:row>
      <xdr:rowOff>63501</xdr:rowOff>
    </xdr:from>
    <xdr:to>
      <xdr:col>29</xdr:col>
      <xdr:colOff>260350</xdr:colOff>
      <xdr:row>8</xdr:row>
      <xdr:rowOff>35367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A3197CD-A712-4C83-AA81-EEEE4E891CD9}"/>
            </a:ext>
          </a:extLst>
        </xdr:cNvPr>
        <xdr:cNvSpPr txBox="1"/>
      </xdr:nvSpPr>
      <xdr:spPr>
        <a:xfrm>
          <a:off x="7169150" y="984251"/>
          <a:ext cx="1555750" cy="11148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組織が作り出 す価値を届け る相手：人、 他の組織 </a:t>
          </a:r>
          <a:endParaRPr kumimoji="1" lang="ja-JP" altLang="en-US" sz="1200"/>
        </a:p>
      </xdr:txBody>
    </xdr:sp>
    <xdr:clientData/>
  </xdr:twoCellAnchor>
  <xdr:twoCellAnchor>
    <xdr:from>
      <xdr:col>0</xdr:col>
      <xdr:colOff>248444</xdr:colOff>
      <xdr:row>20</xdr:row>
      <xdr:rowOff>69850</xdr:rowOff>
    </xdr:from>
    <xdr:to>
      <xdr:col>14</xdr:col>
      <xdr:colOff>177370</xdr:colOff>
      <xdr:row>23</xdr:row>
      <xdr:rowOff>146853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31D0E3D-2D8A-44F4-A3EE-58424B57A384}"/>
            </a:ext>
          </a:extLst>
        </xdr:cNvPr>
        <xdr:cNvSpPr txBox="1"/>
      </xdr:nvSpPr>
      <xdr:spPr>
        <a:xfrm>
          <a:off x="794544" y="4889500"/>
          <a:ext cx="3751626" cy="762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キーリソースを調達し、 キーアクティビティを行ない、 キーパートナーと働くために支払うコスト</a:t>
          </a:r>
          <a:endParaRPr kumimoji="1" lang="ja-JP" altLang="en-US" sz="1200"/>
        </a:p>
      </xdr:txBody>
    </xdr:sp>
    <xdr:clientData/>
  </xdr:twoCellAnchor>
  <xdr:twoCellAnchor>
    <xdr:from>
      <xdr:col>15</xdr:col>
      <xdr:colOff>178594</xdr:colOff>
      <xdr:row>20</xdr:row>
      <xdr:rowOff>57150</xdr:rowOff>
    </xdr:from>
    <xdr:to>
      <xdr:col>29</xdr:col>
      <xdr:colOff>107520</xdr:colOff>
      <xdr:row>23</xdr:row>
      <xdr:rowOff>134153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7A84816-A41E-4656-B775-ED8D1BDC9BA0}"/>
            </a:ext>
          </a:extLst>
        </xdr:cNvPr>
        <xdr:cNvSpPr txBox="1"/>
      </xdr:nvSpPr>
      <xdr:spPr>
        <a:xfrm>
          <a:off x="4820444" y="4876800"/>
          <a:ext cx="3751626" cy="7628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顧客に、与える価値が届けら れる際、支払われるお金 </a:t>
          </a:r>
          <a:endParaRPr kumimoji="1" lang="ja-JP" alt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222250</xdr:rowOff>
    </xdr:from>
    <xdr:to>
      <xdr:col>5</xdr:col>
      <xdr:colOff>44450</xdr:colOff>
      <xdr:row>11</xdr:row>
      <xdr:rowOff>50800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9639E8-2510-4080-8F85-0011A4B259CB}"/>
            </a:ext>
          </a:extLst>
        </xdr:cNvPr>
        <xdr:cNvSpPr txBox="1"/>
      </xdr:nvSpPr>
      <xdr:spPr>
        <a:xfrm>
          <a:off x="736600" y="1600200"/>
          <a:ext cx="1219200" cy="1206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・学生集客の ための近隣小学校</a:t>
          </a:r>
          <a:endParaRPr lang="en-US" altLang="ja-JP" sz="1200"/>
        </a:p>
        <a:p>
          <a:r>
            <a:rPr lang="ja-JP" altLang="ja-JP" sz="1200"/>
            <a:t> </a:t>
          </a:r>
          <a:endParaRPr lang="en-US" altLang="ja-JP" sz="1200"/>
        </a:p>
        <a:p>
          <a:r>
            <a:rPr lang="ja-JP" altLang="ja-JP" sz="1200"/>
            <a:t>・地域行政機関 </a:t>
          </a:r>
          <a:endParaRPr kumimoji="1" lang="ja-JP" altLang="en-US" sz="1200"/>
        </a:p>
      </xdr:txBody>
    </xdr:sp>
    <xdr:clientData/>
  </xdr:twoCellAnchor>
  <xdr:twoCellAnchor>
    <xdr:from>
      <xdr:col>6</xdr:col>
      <xdr:colOff>25658</xdr:colOff>
      <xdr:row>2</xdr:row>
      <xdr:rowOff>6414</xdr:rowOff>
    </xdr:from>
    <xdr:to>
      <xdr:col>11</xdr:col>
      <xdr:colOff>243737</xdr:colOff>
      <xdr:row>8</xdr:row>
      <xdr:rowOff>89798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32C0B4C-E14B-4AD2-BBBE-BD4ECDCB7626}"/>
            </a:ext>
          </a:extLst>
        </xdr:cNvPr>
        <xdr:cNvSpPr txBox="1"/>
      </xdr:nvSpPr>
      <xdr:spPr>
        <a:xfrm>
          <a:off x="1680506" y="583687"/>
          <a:ext cx="1597120" cy="1468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・教材のコンテ ンツ作成 </a:t>
          </a:r>
          <a:endParaRPr lang="en-US" altLang="ja-JP" sz="1200"/>
        </a:p>
        <a:p>
          <a:r>
            <a:rPr lang="ja-JP" altLang="ja-JP" sz="1200"/>
            <a:t>・施設・備品・ インストラクターの調達 </a:t>
          </a:r>
          <a:endParaRPr lang="en-US" altLang="ja-JP" sz="1200"/>
        </a:p>
        <a:p>
          <a:r>
            <a:rPr lang="ja-JP" altLang="ja-JP" sz="1200"/>
            <a:t>・広報</a:t>
          </a:r>
          <a:endParaRPr kumimoji="1" lang="ja-JP" altLang="en-US" sz="1200"/>
        </a:p>
      </xdr:txBody>
    </xdr:sp>
    <xdr:clientData/>
  </xdr:twoCellAnchor>
  <xdr:twoCellAnchor>
    <xdr:from>
      <xdr:col>6</xdr:col>
      <xdr:colOff>196850</xdr:colOff>
      <xdr:row>11</xdr:row>
      <xdr:rowOff>158750</xdr:rowOff>
    </xdr:from>
    <xdr:to>
      <xdr:col>11</xdr:col>
      <xdr:colOff>50800</xdr:colOff>
      <xdr:row>15</xdr:row>
      <xdr:rowOff>95250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00370FB-EA53-47BC-B9B9-159E3837DD54}"/>
            </a:ext>
          </a:extLst>
        </xdr:cNvPr>
        <xdr:cNvSpPr txBox="1"/>
      </xdr:nvSpPr>
      <xdr:spPr>
        <a:xfrm>
          <a:off x="2381250" y="2914650"/>
          <a:ext cx="1219200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/>
            <a:t>・</a:t>
          </a:r>
          <a:r>
            <a:rPr lang="ja-JP" altLang="ja-JP" sz="1200"/>
            <a:t>社内に蓄積された技術、施設、 人材</a:t>
          </a:r>
          <a:endParaRPr kumimoji="1" lang="ja-JP" altLang="en-US" sz="1200"/>
        </a:p>
      </xdr:txBody>
    </xdr:sp>
    <xdr:clientData/>
  </xdr:twoCellAnchor>
  <xdr:twoCellAnchor>
    <xdr:from>
      <xdr:col>12</xdr:col>
      <xdr:colOff>138737</xdr:colOff>
      <xdr:row>4</xdr:row>
      <xdr:rowOff>36241</xdr:rowOff>
    </xdr:from>
    <xdr:to>
      <xdr:col>17</xdr:col>
      <xdr:colOff>141110</xdr:colOff>
      <xdr:row>11</xdr:row>
      <xdr:rowOff>44899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70FC8BA-748D-456A-9348-40B2FF555899}"/>
            </a:ext>
          </a:extLst>
        </xdr:cNvPr>
        <xdr:cNvSpPr txBox="1"/>
      </xdr:nvSpPr>
      <xdr:spPr>
        <a:xfrm>
          <a:off x="4000050" y="1312655"/>
          <a:ext cx="1381414" cy="17468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/>
            <a:t>・</a:t>
          </a:r>
          <a:r>
            <a:rPr lang="ja-JP" altLang="ja-JP" sz="1200"/>
            <a:t>理科に関心を持ってくれる子供（特に 女子学生）を育てることで、 社会に貢献</a:t>
          </a:r>
          <a:endParaRPr kumimoji="1" lang="ja-JP" altLang="en-US" sz="1200"/>
        </a:p>
      </xdr:txBody>
    </xdr:sp>
    <xdr:clientData/>
  </xdr:twoCellAnchor>
  <xdr:twoCellAnchor>
    <xdr:from>
      <xdr:col>18</xdr:col>
      <xdr:colOff>215900</xdr:colOff>
      <xdr:row>2</xdr:row>
      <xdr:rowOff>146050</xdr:rowOff>
    </xdr:from>
    <xdr:to>
      <xdr:col>23</xdr:col>
      <xdr:colOff>69850</xdr:colOff>
      <xdr:row>7</xdr:row>
      <xdr:rowOff>209550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B4087E0-1529-4FD5-9BEE-B92A74AE3876}"/>
            </a:ext>
          </a:extLst>
        </xdr:cNvPr>
        <xdr:cNvSpPr txBox="1"/>
      </xdr:nvSpPr>
      <xdr:spPr>
        <a:xfrm>
          <a:off x="5676900" y="838200"/>
          <a:ext cx="1219200" cy="1206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/>
            <a:t>・</a:t>
          </a:r>
          <a:r>
            <a:rPr lang="ja-JP" altLang="ja-JP" sz="1200"/>
            <a:t>長期的な展望での企業イメージの強化</a:t>
          </a:r>
          <a:endParaRPr kumimoji="1" lang="ja-JP" altLang="en-US" sz="1200"/>
        </a:p>
      </xdr:txBody>
    </xdr:sp>
    <xdr:clientData/>
  </xdr:twoCellAnchor>
  <xdr:twoCellAnchor>
    <xdr:from>
      <xdr:col>18</xdr:col>
      <xdr:colOff>209550</xdr:colOff>
      <xdr:row>11</xdr:row>
      <xdr:rowOff>209549</xdr:rowOff>
    </xdr:from>
    <xdr:to>
      <xdr:col>23</xdr:col>
      <xdr:colOff>109040</xdr:colOff>
      <xdr:row>16</xdr:row>
      <xdr:rowOff>224494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56B0FC6-4C0C-441C-B85D-71BC0F04768E}"/>
            </a:ext>
          </a:extLst>
        </xdr:cNvPr>
        <xdr:cNvSpPr txBox="1"/>
      </xdr:nvSpPr>
      <xdr:spPr>
        <a:xfrm>
          <a:off x="5174095" y="2986872"/>
          <a:ext cx="1278531" cy="11694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・広報のチラシ </a:t>
          </a:r>
          <a:endParaRPr lang="en-US" altLang="ja-JP" sz="1200"/>
        </a:p>
        <a:p>
          <a:r>
            <a:rPr lang="ja-JP" altLang="ja-JP" sz="1200"/>
            <a:t>・WEB ページ </a:t>
          </a:r>
          <a:endParaRPr lang="en-US" altLang="ja-JP" sz="1200"/>
        </a:p>
        <a:p>
          <a:r>
            <a:rPr lang="ja-JP" altLang="ja-JP" sz="1200"/>
            <a:t>・企業の実験室 </a:t>
          </a:r>
          <a:endParaRPr kumimoji="1" lang="ja-JP" altLang="en-US" sz="1200"/>
        </a:p>
      </xdr:txBody>
    </xdr:sp>
    <xdr:clientData/>
  </xdr:twoCellAnchor>
  <xdr:twoCellAnchor>
    <xdr:from>
      <xdr:col>24</xdr:col>
      <xdr:colOff>153939</xdr:colOff>
      <xdr:row>5</xdr:row>
      <xdr:rowOff>95250</xdr:rowOff>
    </xdr:from>
    <xdr:to>
      <xdr:col>29</xdr:col>
      <xdr:colOff>50800</xdr:colOff>
      <xdr:row>11</xdr:row>
      <xdr:rowOff>190500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8C3946D-A770-468B-92EB-B0463BDE0DEC}"/>
            </a:ext>
          </a:extLst>
        </xdr:cNvPr>
        <xdr:cNvSpPr txBox="1"/>
      </xdr:nvSpPr>
      <xdr:spPr>
        <a:xfrm>
          <a:off x="6773333" y="1365250"/>
          <a:ext cx="1275901" cy="16025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・小学5，6年生 </a:t>
          </a:r>
          <a:endParaRPr lang="en-US" altLang="ja-JP" sz="1200"/>
        </a:p>
        <a:p>
          <a:endParaRPr lang="en-US" altLang="ja-JP" sz="1200"/>
        </a:p>
        <a:p>
          <a:r>
            <a:rPr lang="ja-JP" altLang="ja-JP" sz="1200"/>
            <a:t>・子供の父兄 </a:t>
          </a:r>
          <a:endParaRPr lang="en-US" altLang="ja-JP" sz="1200"/>
        </a:p>
        <a:p>
          <a:endParaRPr lang="en-US" altLang="ja-JP" sz="1200"/>
        </a:p>
        <a:p>
          <a:r>
            <a:rPr lang="ja-JP" altLang="ja-JP" sz="1200"/>
            <a:t>・子供の学校 の先生 </a:t>
          </a:r>
          <a:endParaRPr kumimoji="1" lang="ja-JP" altLang="en-US" sz="1200"/>
        </a:p>
      </xdr:txBody>
    </xdr:sp>
    <xdr:clientData/>
  </xdr:twoCellAnchor>
  <xdr:twoCellAnchor>
    <xdr:from>
      <xdr:col>2</xdr:col>
      <xdr:colOff>69850</xdr:colOff>
      <xdr:row>20</xdr:row>
      <xdr:rowOff>6350</xdr:rowOff>
    </xdr:from>
    <xdr:to>
      <xdr:col>6</xdr:col>
      <xdr:colOff>82550</xdr:colOff>
      <xdr:row>23</xdr:row>
      <xdr:rowOff>146050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D047083-15A0-4486-80DD-143C98CE3F83}"/>
            </a:ext>
          </a:extLst>
        </xdr:cNvPr>
        <xdr:cNvSpPr txBox="1"/>
      </xdr:nvSpPr>
      <xdr:spPr>
        <a:xfrm>
          <a:off x="1162050" y="4826000"/>
          <a:ext cx="1104900" cy="825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200"/>
            <a:t>・備品 </a:t>
          </a:r>
          <a:endParaRPr lang="en-US" altLang="ja-JP" sz="1200"/>
        </a:p>
        <a:p>
          <a:r>
            <a:rPr lang="ja-JP" altLang="ja-JP" sz="1200"/>
            <a:t>・広報費</a:t>
          </a:r>
          <a:endParaRPr kumimoji="1" lang="ja-JP" altLang="en-US" sz="1200"/>
        </a:p>
      </xdr:txBody>
    </xdr:sp>
    <xdr:clientData/>
  </xdr:twoCellAnchor>
  <xdr:twoCellAnchor>
    <xdr:from>
      <xdr:col>17</xdr:col>
      <xdr:colOff>0</xdr:colOff>
      <xdr:row>20</xdr:row>
      <xdr:rowOff>127000</xdr:rowOff>
    </xdr:from>
    <xdr:to>
      <xdr:col>27</xdr:col>
      <xdr:colOff>209550</xdr:colOff>
      <xdr:row>22</xdr:row>
      <xdr:rowOff>146050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E9DE57A-D691-41A3-9E57-E250A401FCE1}"/>
            </a:ext>
          </a:extLst>
        </xdr:cNvPr>
        <xdr:cNvSpPr txBox="1"/>
      </xdr:nvSpPr>
      <xdr:spPr>
        <a:xfrm>
          <a:off x="5187950" y="4946650"/>
          <a:ext cx="2940050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/>
            <a:t>・</a:t>
          </a:r>
          <a:r>
            <a:rPr lang="ja-JP" altLang="ja-JP" sz="1200"/>
            <a:t>企業の広報、社会貢献の定性的効果 </a:t>
          </a:r>
          <a:endParaRPr kumimoji="1" lang="ja-JP" alt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14110</xdr:colOff>
      <xdr:row>5</xdr:row>
      <xdr:rowOff>21167</xdr:rowOff>
    </xdr:from>
    <xdr:to>
      <xdr:col>7</xdr:col>
      <xdr:colOff>430389</xdr:colOff>
      <xdr:row>5</xdr:row>
      <xdr:rowOff>225779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B90A7544-6BF1-7166-4492-50F9307D153E}"/>
            </a:ext>
          </a:extLst>
        </xdr:cNvPr>
        <xdr:cNvSpPr/>
      </xdr:nvSpPr>
      <xdr:spPr>
        <a:xfrm>
          <a:off x="4035777" y="1397000"/>
          <a:ext cx="1742723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286951</xdr:colOff>
      <xdr:row>7</xdr:row>
      <xdr:rowOff>13956</xdr:rowOff>
    </xdr:from>
    <xdr:to>
      <xdr:col>7</xdr:col>
      <xdr:colOff>509396</xdr:colOff>
      <xdr:row>7</xdr:row>
      <xdr:rowOff>218568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01640F52-6BA4-40D1-9CA0-6608B9C1C330}"/>
            </a:ext>
          </a:extLst>
        </xdr:cNvPr>
        <xdr:cNvSpPr/>
      </xdr:nvSpPr>
      <xdr:spPr>
        <a:xfrm>
          <a:off x="4292336" y="1870110"/>
          <a:ext cx="1541291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251208</xdr:colOff>
      <xdr:row>11</xdr:row>
      <xdr:rowOff>14115</xdr:rowOff>
    </xdr:from>
    <xdr:to>
      <xdr:col>8</xdr:col>
      <xdr:colOff>497615</xdr:colOff>
      <xdr:row>11</xdr:row>
      <xdr:rowOff>218727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70974C8B-1B4C-417E-A3B5-DF063BCF7EFB}"/>
            </a:ext>
          </a:extLst>
        </xdr:cNvPr>
        <xdr:cNvSpPr/>
      </xdr:nvSpPr>
      <xdr:spPr>
        <a:xfrm>
          <a:off x="4916016" y="2791368"/>
          <a:ext cx="1565253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233766</xdr:colOff>
      <xdr:row>9</xdr:row>
      <xdr:rowOff>13956</xdr:rowOff>
    </xdr:from>
    <xdr:to>
      <xdr:col>8</xdr:col>
      <xdr:colOff>293078</xdr:colOff>
      <xdr:row>9</xdr:row>
      <xdr:rowOff>218568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AF8B1FE2-EACC-4130-B3B1-6079B3BE23F8}"/>
            </a:ext>
          </a:extLst>
        </xdr:cNvPr>
        <xdr:cNvSpPr/>
      </xdr:nvSpPr>
      <xdr:spPr>
        <a:xfrm>
          <a:off x="4898574" y="2330659"/>
          <a:ext cx="1378158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13</xdr:row>
      <xdr:rowOff>10467</xdr:rowOff>
    </xdr:from>
    <xdr:to>
      <xdr:col>9</xdr:col>
      <xdr:colOff>59312</xdr:colOff>
      <xdr:row>13</xdr:row>
      <xdr:rowOff>215079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95608136-23FF-4EEC-9159-71814D77338B}"/>
            </a:ext>
          </a:extLst>
        </xdr:cNvPr>
        <xdr:cNvSpPr/>
      </xdr:nvSpPr>
      <xdr:spPr>
        <a:xfrm>
          <a:off x="5324231" y="3248269"/>
          <a:ext cx="1378158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15</xdr:row>
      <xdr:rowOff>13956</xdr:rowOff>
    </xdr:from>
    <xdr:to>
      <xdr:col>9</xdr:col>
      <xdr:colOff>237253</xdr:colOff>
      <xdr:row>15</xdr:row>
      <xdr:rowOff>218568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AB3364A7-3DE7-4A37-8C26-45DD5BF16655}"/>
            </a:ext>
          </a:extLst>
        </xdr:cNvPr>
        <xdr:cNvSpPr/>
      </xdr:nvSpPr>
      <xdr:spPr>
        <a:xfrm>
          <a:off x="5983654" y="3712308"/>
          <a:ext cx="896676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9</xdr:col>
      <xdr:colOff>429148</xdr:colOff>
      <xdr:row>17</xdr:row>
      <xdr:rowOff>204612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8B60CE6A-7B65-4D3A-A374-789B87A05410}"/>
            </a:ext>
          </a:extLst>
        </xdr:cNvPr>
        <xdr:cNvSpPr/>
      </xdr:nvSpPr>
      <xdr:spPr>
        <a:xfrm>
          <a:off x="5983654" y="4158901"/>
          <a:ext cx="1088571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317500</xdr:colOff>
      <xdr:row>19</xdr:row>
      <xdr:rowOff>6978</xdr:rowOff>
    </xdr:from>
    <xdr:to>
      <xdr:col>9</xdr:col>
      <xdr:colOff>502418</xdr:colOff>
      <xdr:row>19</xdr:row>
      <xdr:rowOff>211590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28611D17-57D4-432A-A014-B5CB162AD78D}"/>
            </a:ext>
          </a:extLst>
        </xdr:cNvPr>
        <xdr:cNvSpPr/>
      </xdr:nvSpPr>
      <xdr:spPr>
        <a:xfrm>
          <a:off x="6301154" y="4626429"/>
          <a:ext cx="844341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115137</xdr:colOff>
      <xdr:row>21</xdr:row>
      <xdr:rowOff>17445</xdr:rowOff>
    </xdr:from>
    <xdr:to>
      <xdr:col>9</xdr:col>
      <xdr:colOff>648956</xdr:colOff>
      <xdr:row>21</xdr:row>
      <xdr:rowOff>222057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E6189B9F-CE21-4EF8-85B7-64F36483765E}"/>
            </a:ext>
          </a:extLst>
        </xdr:cNvPr>
        <xdr:cNvSpPr/>
      </xdr:nvSpPr>
      <xdr:spPr>
        <a:xfrm>
          <a:off x="6758214" y="5097445"/>
          <a:ext cx="533819" cy="20461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6</xdr:row>
      <xdr:rowOff>17445</xdr:rowOff>
    </xdr:from>
    <xdr:to>
      <xdr:col>7</xdr:col>
      <xdr:colOff>416279</xdr:colOff>
      <xdr:row>6</xdr:row>
      <xdr:rowOff>222057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5BA61A92-EC23-43B0-B8FC-EC61915CD157}"/>
            </a:ext>
          </a:extLst>
        </xdr:cNvPr>
        <xdr:cNvSpPr/>
      </xdr:nvSpPr>
      <xdr:spPr>
        <a:xfrm>
          <a:off x="4005385" y="1643324"/>
          <a:ext cx="1735125" cy="204612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432637</xdr:colOff>
      <xdr:row>8</xdr:row>
      <xdr:rowOff>13956</xdr:rowOff>
    </xdr:from>
    <xdr:to>
      <xdr:col>8</xdr:col>
      <xdr:colOff>4576</xdr:colOff>
      <xdr:row>8</xdr:row>
      <xdr:rowOff>218568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355DDD80-9FF5-4415-A46D-E2222DEA1393}"/>
            </a:ext>
          </a:extLst>
        </xdr:cNvPr>
        <xdr:cNvSpPr/>
      </xdr:nvSpPr>
      <xdr:spPr>
        <a:xfrm>
          <a:off x="4438022" y="2100385"/>
          <a:ext cx="1550208" cy="204612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195383</xdr:colOff>
      <xdr:row>10</xdr:row>
      <xdr:rowOff>17445</xdr:rowOff>
    </xdr:from>
    <xdr:to>
      <xdr:col>8</xdr:col>
      <xdr:colOff>261676</xdr:colOff>
      <xdr:row>10</xdr:row>
      <xdr:rowOff>222057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CB825426-3110-47DF-9C4F-E6D9F2553531}"/>
            </a:ext>
          </a:extLst>
        </xdr:cNvPr>
        <xdr:cNvSpPr/>
      </xdr:nvSpPr>
      <xdr:spPr>
        <a:xfrm>
          <a:off x="4860191" y="2564423"/>
          <a:ext cx="1385139" cy="204612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380301</xdr:colOff>
      <xdr:row>12</xdr:row>
      <xdr:rowOff>10467</xdr:rowOff>
    </xdr:from>
    <xdr:to>
      <xdr:col>8</xdr:col>
      <xdr:colOff>352390</xdr:colOff>
      <xdr:row>12</xdr:row>
      <xdr:rowOff>215079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6E55A4F1-978C-48DC-B938-3A3DB75FD154}"/>
            </a:ext>
          </a:extLst>
        </xdr:cNvPr>
        <xdr:cNvSpPr/>
      </xdr:nvSpPr>
      <xdr:spPr>
        <a:xfrm>
          <a:off x="5045109" y="3017994"/>
          <a:ext cx="1290935" cy="204612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14</xdr:row>
      <xdr:rowOff>13956</xdr:rowOff>
    </xdr:from>
    <xdr:to>
      <xdr:col>8</xdr:col>
      <xdr:colOff>219808</xdr:colOff>
      <xdr:row>14</xdr:row>
      <xdr:rowOff>218568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3654DBCC-72AD-4793-BC2A-FE059A682688}"/>
            </a:ext>
          </a:extLst>
        </xdr:cNvPr>
        <xdr:cNvSpPr/>
      </xdr:nvSpPr>
      <xdr:spPr>
        <a:xfrm>
          <a:off x="5324231" y="3482033"/>
          <a:ext cx="879231" cy="204612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464403</xdr:colOff>
      <xdr:row>15</xdr:row>
      <xdr:rowOff>18956</xdr:rowOff>
    </xdr:from>
    <xdr:to>
      <xdr:col>4</xdr:col>
      <xdr:colOff>651282</xdr:colOff>
      <xdr:row>20</xdr:row>
      <xdr:rowOff>211667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B4323DF6-47F1-89AB-64D3-F044FF2B8399}"/>
            </a:ext>
          </a:extLst>
        </xdr:cNvPr>
        <xdr:cNvSpPr/>
      </xdr:nvSpPr>
      <xdr:spPr>
        <a:xfrm>
          <a:off x="1327352" y="3666135"/>
          <a:ext cx="2678033" cy="1332455"/>
        </a:xfrm>
        <a:prstGeom prst="wedgeRectCallout">
          <a:avLst>
            <a:gd name="adj1" fmla="val -62201"/>
            <a:gd name="adj2" fmla="val -5344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ステークホルダーへの情報提供ニーズで粒度を変える</a:t>
          </a:r>
          <a:endParaRPr kumimoji="1" lang="en-US" altLang="ja-JP" sz="1400" b="1"/>
        </a:p>
        <a:p>
          <a:pPr algn="l"/>
          <a:r>
            <a:rPr kumimoji="1" lang="ja-JP" altLang="en-US" sz="1400" b="1"/>
            <a:t>経営層には、タスクレベルではなく、</a:t>
          </a:r>
          <a:r>
            <a:rPr kumimoji="1" lang="en-US" altLang="ja-JP" sz="1400" b="1"/>
            <a:t>WBS</a:t>
          </a:r>
          <a:r>
            <a:rPr kumimoji="1" lang="ja-JP" altLang="en-US" sz="1400" b="1"/>
            <a:t>の階層レベルなど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237666</xdr:colOff>
      <xdr:row>10</xdr:row>
      <xdr:rowOff>3911</xdr:rowOff>
    </xdr:from>
    <xdr:to>
      <xdr:col>7</xdr:col>
      <xdr:colOff>8212</xdr:colOff>
      <xdr:row>10</xdr:row>
      <xdr:rowOff>16423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501A5BB-6F42-0AAD-18DD-E71F5A864F0E}"/>
            </a:ext>
          </a:extLst>
        </xdr:cNvPr>
        <xdr:cNvCxnSpPr/>
      </xdr:nvCxnSpPr>
      <xdr:spPr>
        <a:xfrm flipV="1">
          <a:off x="1981179" y="3096799"/>
          <a:ext cx="1467529" cy="1251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421509</xdr:colOff>
      <xdr:row>10</xdr:row>
      <xdr:rowOff>1173</xdr:rowOff>
    </xdr:from>
    <xdr:to>
      <xdr:col>11</xdr:col>
      <xdr:colOff>409716</xdr:colOff>
      <xdr:row>10</xdr:row>
      <xdr:rowOff>16652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E7B7802-BA83-4EFF-8E6F-9EF127704CF2}"/>
            </a:ext>
          </a:extLst>
        </xdr:cNvPr>
        <xdr:cNvCxnSpPr/>
      </xdr:nvCxnSpPr>
      <xdr:spPr>
        <a:xfrm flipH="1" flipV="1">
          <a:off x="3437759" y="3094061"/>
          <a:ext cx="2109435" cy="1547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57726</xdr:colOff>
      <xdr:row>10</xdr:row>
      <xdr:rowOff>45357</xdr:rowOff>
    </xdr:from>
    <xdr:to>
      <xdr:col>9</xdr:col>
      <xdr:colOff>394938</xdr:colOff>
      <xdr:row>11</xdr:row>
      <xdr:rowOff>131948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5FDB8EC-DD9B-6948-2819-F04CD47C0036}"/>
            </a:ext>
          </a:extLst>
        </xdr:cNvPr>
        <xdr:cNvSpPr txBox="1"/>
      </xdr:nvSpPr>
      <xdr:spPr>
        <a:xfrm>
          <a:off x="3503763" y="3158406"/>
          <a:ext cx="1189041" cy="373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/>
            <a:t>影響度（</a:t>
          </a:r>
          <a:r>
            <a:rPr kumimoji="1" lang="en-US" altLang="ja-JP" sz="1200"/>
            <a:t>I</a:t>
          </a:r>
          <a:r>
            <a:rPr kumimoji="1" lang="ja-JP" altLang="en-US" sz="1200"/>
            <a:t>）</a:t>
          </a:r>
        </a:p>
      </xdr:txBody>
    </xdr:sp>
    <xdr:clientData/>
  </xdr:twoCellAnchor>
  <xdr:twoCellAnchor>
    <xdr:from>
      <xdr:col>6</xdr:col>
      <xdr:colOff>37110</xdr:colOff>
      <xdr:row>0</xdr:row>
      <xdr:rowOff>94838</xdr:rowOff>
    </xdr:from>
    <xdr:to>
      <xdr:col>8</xdr:col>
      <xdr:colOff>156688</xdr:colOff>
      <xdr:row>1</xdr:row>
      <xdr:rowOff>181429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62B7FC4-389E-4EFB-B4C0-C238728EF06F}"/>
            </a:ext>
          </a:extLst>
        </xdr:cNvPr>
        <xdr:cNvSpPr txBox="1"/>
      </xdr:nvSpPr>
      <xdr:spPr>
        <a:xfrm>
          <a:off x="3055422" y="3723409"/>
          <a:ext cx="968993" cy="313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E</a:t>
          </a:r>
          <a:r>
            <a:rPr kumimoji="1" lang="ja-JP" altLang="en-US" sz="1400"/>
            <a:t> </a:t>
          </a:r>
          <a:r>
            <a:rPr kumimoji="1" lang="en-US" altLang="ja-JP" sz="1400"/>
            <a:t>=</a:t>
          </a:r>
          <a:r>
            <a:rPr kumimoji="1" lang="ja-JP" altLang="en-US" sz="1400"/>
            <a:t> </a:t>
          </a:r>
          <a:r>
            <a:rPr kumimoji="1" lang="en-US" altLang="ja-JP" sz="1400"/>
            <a:t>P</a:t>
          </a:r>
          <a:r>
            <a:rPr kumimoji="1" lang="ja-JP" altLang="en-US" sz="1400"/>
            <a:t> </a:t>
          </a:r>
          <a:r>
            <a:rPr kumimoji="1" lang="en-US" altLang="ja-JP" sz="1400"/>
            <a:t>x</a:t>
          </a:r>
          <a:r>
            <a:rPr kumimoji="1" lang="ja-JP" altLang="en-US" sz="1400" baseline="0"/>
            <a:t> </a:t>
          </a:r>
          <a:r>
            <a:rPr kumimoji="1" lang="en-US" altLang="ja-JP" sz="1400"/>
            <a:t>I</a:t>
          </a:r>
          <a:endParaRPr kumimoji="1" lang="ja-JP" altLang="en-US" sz="1400"/>
        </a:p>
      </xdr:txBody>
    </xdr:sp>
    <xdr:clientData/>
  </xdr:twoCellAnchor>
  <xdr:twoCellAnchor>
    <xdr:from>
      <xdr:col>0</xdr:col>
      <xdr:colOff>410428</xdr:colOff>
      <xdr:row>10</xdr:row>
      <xdr:rowOff>220306</xdr:rowOff>
    </xdr:from>
    <xdr:to>
      <xdr:col>3</xdr:col>
      <xdr:colOff>142552</xdr:colOff>
      <xdr:row>13</xdr:row>
      <xdr:rowOff>123112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62C86FD-BB0F-F362-9328-CA5FAC1AF039}"/>
            </a:ext>
          </a:extLst>
        </xdr:cNvPr>
        <xdr:cNvSpPr/>
      </xdr:nvSpPr>
      <xdr:spPr>
        <a:xfrm>
          <a:off x="410428" y="3333355"/>
          <a:ext cx="1474502" cy="762379"/>
        </a:xfrm>
        <a:prstGeom prst="rect">
          <a:avLst/>
        </a:prstGeom>
        <a:solidFill>
          <a:srgbClr val="F9B7FB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優先度高く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積極的な対応要</a:t>
          </a:r>
        </a:p>
      </xdr:txBody>
    </xdr:sp>
    <xdr:clientData/>
  </xdr:twoCellAnchor>
  <xdr:twoCellAnchor>
    <xdr:from>
      <xdr:col>3</xdr:col>
      <xdr:colOff>294268</xdr:colOff>
      <xdr:row>10</xdr:row>
      <xdr:rowOff>220305</xdr:rowOff>
    </xdr:from>
    <xdr:to>
      <xdr:col>7</xdr:col>
      <xdr:colOff>38878</xdr:colOff>
      <xdr:row>13</xdr:row>
      <xdr:rowOff>123111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ED8366A-D677-4C4A-8D75-0FA4B76453DA}"/>
            </a:ext>
          </a:extLst>
        </xdr:cNvPr>
        <xdr:cNvSpPr/>
      </xdr:nvSpPr>
      <xdr:spPr>
        <a:xfrm>
          <a:off x="2036646" y="3333354"/>
          <a:ext cx="1448269" cy="76237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優先度低く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 b="1">
              <a:solidFill>
                <a:sysClr val="windowText" lastClr="000000"/>
              </a:solidFill>
            </a:rPr>
            <a:t>監視リスト入れる</a:t>
          </a:r>
        </a:p>
      </xdr:txBody>
    </xdr:sp>
    <xdr:clientData/>
  </xdr:twoCellAnchor>
  <xdr:twoCellAnchor>
    <xdr:from>
      <xdr:col>1</xdr:col>
      <xdr:colOff>489447</xdr:colOff>
      <xdr:row>3</xdr:row>
      <xdr:rowOff>187909</xdr:rowOff>
    </xdr:from>
    <xdr:to>
      <xdr:col>6</xdr:col>
      <xdr:colOff>200867</xdr:colOff>
      <xdr:row>10</xdr:row>
      <xdr:rowOff>220306</xdr:rowOff>
    </xdr:to>
    <xdr:cxnSp macro="">
      <xdr:nvCxnSpPr>
        <xdr:cNvPr id="17" name="コネクタ: 曲線 16">
          <a:extLst>
            <a:ext uri="{FF2B5EF4-FFF2-40B4-BE49-F238E27FC236}">
              <a16:creationId xmlns:a16="http://schemas.microsoft.com/office/drawing/2014/main" id="{874B9651-6ADC-ED5F-1F41-353A20E240AF}"/>
            </a:ext>
          </a:extLst>
        </xdr:cNvPr>
        <xdr:cNvCxnSpPr>
          <a:stCxn id="13" idx="0"/>
        </xdr:cNvCxnSpPr>
      </xdr:nvCxnSpPr>
      <xdr:spPr>
        <a:xfrm rot="5400000" flipH="1" flipV="1">
          <a:off x="1161428" y="1273794"/>
          <a:ext cx="2045812" cy="2073310"/>
        </a:xfrm>
        <a:prstGeom prst="curvedConnector2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6480</xdr:colOff>
      <xdr:row>7</xdr:row>
      <xdr:rowOff>220306</xdr:rowOff>
    </xdr:from>
    <xdr:to>
      <xdr:col>5</xdr:col>
      <xdr:colOff>166574</xdr:colOff>
      <xdr:row>10</xdr:row>
      <xdr:rowOff>220305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6FFBDFC-AD73-EEEA-4633-4EA0DFEEF967}"/>
            </a:ext>
          </a:extLst>
        </xdr:cNvPr>
        <xdr:cNvCxnSpPr>
          <a:stCxn id="15" idx="0"/>
        </xdr:cNvCxnSpPr>
      </xdr:nvCxnSpPr>
      <xdr:spPr>
        <a:xfrm flipH="1" flipV="1">
          <a:off x="2600687" y="2466038"/>
          <a:ext cx="160094" cy="867316"/>
        </a:xfrm>
        <a:prstGeom prst="straightConnector1">
          <a:avLst/>
        </a:prstGeom>
        <a:ln w="12700">
          <a:solidFill>
            <a:schemeClr val="accent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BC1-F8F9-4619-BCE9-34C8D5BD06A4}">
  <dimension ref="A1:AD24"/>
  <sheetViews>
    <sheetView tabSelected="1" zoomScaleNormal="100" workbookViewId="0"/>
  </sheetViews>
  <sheetFormatPr defaultColWidth="4.58203125" defaultRowHeight="18" x14ac:dyDescent="0.55000000000000004"/>
  <cols>
    <col min="1" max="32" width="3.58203125" customWidth="1"/>
  </cols>
  <sheetData>
    <row r="1" spans="1:30" ht="22.5" x14ac:dyDescent="0.55000000000000004">
      <c r="A1" s="132" t="s">
        <v>61</v>
      </c>
      <c r="B1" s="133"/>
      <c r="C1" s="133"/>
      <c r="D1" s="133"/>
      <c r="E1" s="133"/>
      <c r="F1" s="133"/>
      <c r="G1" s="132" t="s">
        <v>62</v>
      </c>
      <c r="H1" s="133"/>
      <c r="I1" s="133"/>
      <c r="J1" s="133"/>
      <c r="K1" s="133"/>
      <c r="L1" s="134"/>
      <c r="M1" s="133" t="s">
        <v>63</v>
      </c>
      <c r="N1" s="133"/>
      <c r="O1" s="133"/>
      <c r="P1" s="133"/>
      <c r="Q1" s="133"/>
      <c r="R1" s="133"/>
      <c r="S1" s="132" t="s">
        <v>64</v>
      </c>
      <c r="T1" s="133"/>
      <c r="U1" s="133"/>
      <c r="V1" s="133"/>
      <c r="W1" s="133"/>
      <c r="X1" s="134"/>
      <c r="Y1" s="133" t="s">
        <v>65</v>
      </c>
      <c r="Z1" s="133"/>
      <c r="AA1" s="133"/>
      <c r="AB1" s="133"/>
      <c r="AC1" s="133"/>
      <c r="AD1" s="134"/>
    </row>
    <row r="2" spans="1:30" ht="22.5" x14ac:dyDescent="0.55000000000000004">
      <c r="A2" s="135" t="s">
        <v>76</v>
      </c>
      <c r="B2" s="79"/>
      <c r="C2" s="79"/>
      <c r="D2" s="79"/>
      <c r="E2" s="79"/>
      <c r="F2" s="79"/>
      <c r="G2" s="135" t="s">
        <v>77</v>
      </c>
      <c r="H2" s="79"/>
      <c r="I2" s="79"/>
      <c r="J2" s="79"/>
      <c r="K2" s="79"/>
      <c r="L2" s="136"/>
      <c r="M2" s="79" t="s">
        <v>78</v>
      </c>
      <c r="N2" s="79"/>
      <c r="O2" s="79"/>
      <c r="P2" s="79"/>
      <c r="Q2" s="79"/>
      <c r="R2" s="79"/>
      <c r="S2" s="135" t="s">
        <v>79</v>
      </c>
      <c r="T2" s="79"/>
      <c r="U2" s="79"/>
      <c r="V2" s="79"/>
      <c r="W2" s="79"/>
      <c r="X2" s="136"/>
      <c r="Y2" s="79" t="s">
        <v>71</v>
      </c>
      <c r="Z2" s="79"/>
      <c r="AA2" s="79"/>
      <c r="AB2" s="79"/>
      <c r="AC2" s="79"/>
      <c r="AD2" s="136"/>
    </row>
    <row r="3" spans="1:30" ht="22.5" x14ac:dyDescent="0.55000000000000004">
      <c r="A3" s="12"/>
      <c r="G3" s="12"/>
      <c r="L3" s="13"/>
      <c r="S3" s="12"/>
      <c r="T3" s="137" t="s">
        <v>80</v>
      </c>
      <c r="X3" s="13"/>
      <c r="AD3" s="13"/>
    </row>
    <row r="4" spans="1:30" x14ac:dyDescent="0.55000000000000004">
      <c r="A4" s="12"/>
      <c r="G4" s="12"/>
      <c r="L4" s="13"/>
      <c r="S4" s="12"/>
      <c r="X4" s="13"/>
      <c r="AD4" s="13"/>
    </row>
    <row r="5" spans="1:30" x14ac:dyDescent="0.55000000000000004">
      <c r="A5" s="12"/>
      <c r="G5" s="12"/>
      <c r="L5" s="13"/>
      <c r="S5" s="12"/>
      <c r="X5" s="13"/>
      <c r="AD5" s="13"/>
    </row>
    <row r="6" spans="1:30" x14ac:dyDescent="0.55000000000000004">
      <c r="A6" s="12"/>
      <c r="G6" s="12"/>
      <c r="L6" s="13"/>
      <c r="S6" s="12"/>
      <c r="X6" s="13"/>
      <c r="AD6" s="13"/>
    </row>
    <row r="7" spans="1:30" x14ac:dyDescent="0.55000000000000004">
      <c r="A7" s="12"/>
      <c r="G7" s="12"/>
      <c r="L7" s="13"/>
      <c r="S7" s="12"/>
      <c r="X7" s="13"/>
      <c r="AD7" s="13"/>
    </row>
    <row r="8" spans="1:30" x14ac:dyDescent="0.55000000000000004">
      <c r="A8" s="12"/>
      <c r="G8" s="12"/>
      <c r="L8" s="13"/>
      <c r="S8" s="12"/>
      <c r="X8" s="13"/>
      <c r="AD8" s="13"/>
    </row>
    <row r="9" spans="1:30" ht="18.5" thickBot="1" x14ac:dyDescent="0.6">
      <c r="A9" s="12"/>
      <c r="G9" s="12"/>
      <c r="L9" s="13"/>
      <c r="S9" s="12"/>
      <c r="X9" s="13"/>
      <c r="AD9" s="13"/>
    </row>
    <row r="10" spans="1:30" ht="22.5" x14ac:dyDescent="0.55000000000000004">
      <c r="A10" s="12"/>
      <c r="G10" s="132" t="s">
        <v>66</v>
      </c>
      <c r="H10" s="133"/>
      <c r="I10" s="133"/>
      <c r="J10" s="133"/>
      <c r="K10" s="133"/>
      <c r="L10" s="134"/>
      <c r="M10" s="79"/>
      <c r="N10" s="79"/>
      <c r="O10" s="79"/>
      <c r="P10" s="79"/>
      <c r="Q10" s="79"/>
      <c r="R10" s="79"/>
      <c r="S10" s="132" t="s">
        <v>67</v>
      </c>
      <c r="T10" s="133"/>
      <c r="U10" s="133"/>
      <c r="V10" s="133"/>
      <c r="W10" s="133"/>
      <c r="X10" s="11"/>
      <c r="AD10" s="13"/>
    </row>
    <row r="11" spans="1:30" ht="22.5" x14ac:dyDescent="0.55000000000000004">
      <c r="A11" s="12"/>
      <c r="G11" s="135" t="s">
        <v>81</v>
      </c>
      <c r="H11" s="79"/>
      <c r="I11" s="79"/>
      <c r="J11" s="79"/>
      <c r="K11" s="79"/>
      <c r="L11" s="136"/>
      <c r="M11" s="79"/>
      <c r="N11" s="79"/>
      <c r="O11" s="79"/>
      <c r="P11" s="79"/>
      <c r="Q11" s="79"/>
      <c r="R11" s="79"/>
      <c r="S11" s="135" t="s">
        <v>70</v>
      </c>
      <c r="T11" s="79"/>
      <c r="U11" s="79"/>
      <c r="V11" s="79"/>
      <c r="W11" s="79"/>
      <c r="X11" s="13"/>
      <c r="AD11" s="13"/>
    </row>
    <row r="12" spans="1:30" x14ac:dyDescent="0.55000000000000004">
      <c r="A12" s="12"/>
      <c r="G12" s="12"/>
      <c r="L12" s="13"/>
      <c r="S12" s="12"/>
      <c r="X12" s="13"/>
      <c r="AD12" s="13"/>
    </row>
    <row r="13" spans="1:30" x14ac:dyDescent="0.55000000000000004">
      <c r="A13" s="12"/>
      <c r="G13" s="12"/>
      <c r="L13" s="13"/>
      <c r="S13" s="12"/>
      <c r="X13" s="13"/>
      <c r="AD13" s="13"/>
    </row>
    <row r="14" spans="1:30" x14ac:dyDescent="0.55000000000000004">
      <c r="A14" s="12"/>
      <c r="G14" s="12"/>
      <c r="L14" s="13"/>
      <c r="S14" s="12"/>
      <c r="X14" s="13"/>
      <c r="AD14" s="13"/>
    </row>
    <row r="15" spans="1:30" x14ac:dyDescent="0.55000000000000004">
      <c r="A15" s="12"/>
      <c r="G15" s="12"/>
      <c r="L15" s="13"/>
      <c r="S15" s="12"/>
      <c r="X15" s="13"/>
      <c r="AD15" s="13"/>
    </row>
    <row r="16" spans="1:30" x14ac:dyDescent="0.55000000000000004">
      <c r="A16" s="12"/>
      <c r="G16" s="12"/>
      <c r="L16" s="13"/>
      <c r="S16" s="12"/>
      <c r="X16" s="13"/>
      <c r="AD16" s="13"/>
    </row>
    <row r="17" spans="1:30" x14ac:dyDescent="0.55000000000000004">
      <c r="A17" s="12"/>
      <c r="G17" s="12"/>
      <c r="L17" s="13"/>
      <c r="S17" s="12"/>
      <c r="X17" s="13"/>
      <c r="AD17" s="13"/>
    </row>
    <row r="18" spans="1:30" ht="18.5" thickBot="1" x14ac:dyDescent="0.6">
      <c r="A18" s="12"/>
      <c r="G18" s="14"/>
      <c r="H18" s="15"/>
      <c r="I18" s="15"/>
      <c r="J18" s="15"/>
      <c r="K18" s="15"/>
      <c r="L18" s="16"/>
      <c r="S18" s="14"/>
      <c r="T18" s="15"/>
      <c r="U18" s="15"/>
      <c r="V18" s="15"/>
      <c r="W18" s="15"/>
      <c r="X18" s="16"/>
      <c r="AD18" s="13"/>
    </row>
    <row r="19" spans="1:30" ht="22.5" x14ac:dyDescent="0.55000000000000004">
      <c r="A19" s="132" t="s">
        <v>68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4"/>
      <c r="P19" s="132" t="s">
        <v>69</v>
      </c>
      <c r="Q19" s="133"/>
      <c r="R19" s="133"/>
      <c r="S19" s="133"/>
      <c r="T19" s="133"/>
      <c r="U19" s="10"/>
      <c r="V19" s="10"/>
      <c r="W19" s="10"/>
      <c r="X19" s="10"/>
      <c r="Y19" s="10"/>
      <c r="Z19" s="10"/>
      <c r="AA19" s="10"/>
      <c r="AB19" s="10"/>
      <c r="AC19" s="10"/>
      <c r="AD19" s="11"/>
    </row>
    <row r="20" spans="1:30" ht="22.5" x14ac:dyDescent="0.55000000000000004">
      <c r="A20" s="135" t="s">
        <v>72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136"/>
      <c r="P20" s="135" t="s">
        <v>73</v>
      </c>
      <c r="Q20" s="79"/>
      <c r="R20" s="79"/>
      <c r="S20" s="79"/>
      <c r="T20" s="79"/>
      <c r="AD20" s="13"/>
    </row>
    <row r="21" spans="1:30" x14ac:dyDescent="0.55000000000000004">
      <c r="A21" s="12"/>
      <c r="O21" s="13"/>
      <c r="P21" s="12"/>
      <c r="AD21" s="13"/>
    </row>
    <row r="22" spans="1:30" x14ac:dyDescent="0.55000000000000004">
      <c r="A22" s="12"/>
      <c r="O22" s="13"/>
      <c r="P22" s="12"/>
      <c r="AD22" s="13"/>
    </row>
    <row r="23" spans="1:30" x14ac:dyDescent="0.55000000000000004">
      <c r="A23" s="12"/>
      <c r="O23" s="13"/>
      <c r="P23" s="12"/>
      <c r="AD23" s="13"/>
    </row>
    <row r="24" spans="1:30" ht="18.5" thickBot="1" x14ac:dyDescent="0.6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4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</row>
  </sheetData>
  <phoneticPr fontId="1"/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&amp;L組織のビジネスモデル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9FEA-3024-44B9-86DB-5F5050837042}">
  <dimension ref="A1:AD24"/>
  <sheetViews>
    <sheetView zoomScale="99" zoomScaleNormal="100" workbookViewId="0">
      <selection activeCell="AH20" sqref="AH20"/>
    </sheetView>
  </sheetViews>
  <sheetFormatPr defaultColWidth="4.58203125" defaultRowHeight="18" x14ac:dyDescent="0.55000000000000004"/>
  <cols>
    <col min="1" max="32" width="3.58203125" customWidth="1"/>
  </cols>
  <sheetData>
    <row r="1" spans="1:30" ht="22.5" x14ac:dyDescent="0.55000000000000004">
      <c r="A1" s="132" t="s">
        <v>61</v>
      </c>
      <c r="B1" s="133"/>
      <c r="C1" s="133"/>
      <c r="D1" s="133"/>
      <c r="E1" s="133"/>
      <c r="F1" s="133"/>
      <c r="G1" s="132" t="s">
        <v>62</v>
      </c>
      <c r="H1" s="133"/>
      <c r="I1" s="133"/>
      <c r="J1" s="133"/>
      <c r="K1" s="133"/>
      <c r="L1" s="134"/>
      <c r="M1" s="133" t="s">
        <v>63</v>
      </c>
      <c r="N1" s="133"/>
      <c r="O1" s="133"/>
      <c r="P1" s="133"/>
      <c r="Q1" s="133"/>
      <c r="R1" s="133"/>
      <c r="S1" s="132" t="s">
        <v>64</v>
      </c>
      <c r="T1" s="133"/>
      <c r="U1" s="133"/>
      <c r="V1" s="133"/>
      <c r="W1" s="133"/>
      <c r="X1" s="134"/>
      <c r="Y1" s="133" t="s">
        <v>65</v>
      </c>
      <c r="Z1" s="133"/>
      <c r="AA1" s="133"/>
      <c r="AB1" s="133"/>
      <c r="AC1" s="133"/>
      <c r="AD1" s="134"/>
    </row>
    <row r="2" spans="1:30" ht="22.5" x14ac:dyDescent="0.55000000000000004">
      <c r="A2" s="135" t="s">
        <v>76</v>
      </c>
      <c r="B2" s="79"/>
      <c r="C2" s="79"/>
      <c r="D2" s="79"/>
      <c r="E2" s="79"/>
      <c r="F2" s="79"/>
      <c r="G2" s="135" t="s">
        <v>77</v>
      </c>
      <c r="H2" s="79"/>
      <c r="I2" s="79"/>
      <c r="J2" s="79"/>
      <c r="K2" s="79"/>
      <c r="L2" s="136"/>
      <c r="M2" s="79" t="s">
        <v>78</v>
      </c>
      <c r="N2" s="79"/>
      <c r="O2" s="79"/>
      <c r="P2" s="79"/>
      <c r="Q2" s="79"/>
      <c r="R2" s="79"/>
      <c r="S2" s="135" t="s">
        <v>79</v>
      </c>
      <c r="T2" s="79"/>
      <c r="U2" s="79"/>
      <c r="V2" s="79"/>
      <c r="W2" s="79"/>
      <c r="X2" s="136"/>
      <c r="Y2" s="79" t="s">
        <v>71</v>
      </c>
      <c r="Z2" s="79"/>
      <c r="AA2" s="79"/>
      <c r="AB2" s="79"/>
      <c r="AC2" s="79"/>
      <c r="AD2" s="136"/>
    </row>
    <row r="3" spans="1:30" x14ac:dyDescent="0.55000000000000004">
      <c r="A3" s="12"/>
      <c r="G3" s="12"/>
      <c r="L3" s="13"/>
      <c r="S3" s="12"/>
      <c r="X3" s="13"/>
      <c r="AD3" s="13"/>
    </row>
    <row r="4" spans="1:30" x14ac:dyDescent="0.55000000000000004">
      <c r="A4" s="12"/>
      <c r="G4" s="12"/>
      <c r="L4" s="13"/>
      <c r="S4" s="12"/>
      <c r="X4" s="13"/>
      <c r="AD4" s="13"/>
    </row>
    <row r="5" spans="1:30" x14ac:dyDescent="0.55000000000000004">
      <c r="A5" s="12"/>
      <c r="G5" s="12"/>
      <c r="L5" s="13"/>
      <c r="S5" s="12"/>
      <c r="X5" s="13"/>
      <c r="AD5" s="13"/>
    </row>
    <row r="6" spans="1:30" x14ac:dyDescent="0.55000000000000004">
      <c r="A6" s="12"/>
      <c r="G6" s="12"/>
      <c r="L6" s="13"/>
      <c r="S6" s="12"/>
      <c r="X6" s="13"/>
      <c r="AD6" s="13"/>
    </row>
    <row r="7" spans="1:30" x14ac:dyDescent="0.55000000000000004">
      <c r="A7" s="12"/>
      <c r="G7" s="12"/>
      <c r="L7" s="13"/>
      <c r="S7" s="12"/>
      <c r="X7" s="13"/>
      <c r="AD7" s="13"/>
    </row>
    <row r="8" spans="1:30" x14ac:dyDescent="0.55000000000000004">
      <c r="A8" s="12"/>
      <c r="G8" s="12"/>
      <c r="L8" s="13"/>
      <c r="S8" s="12"/>
      <c r="X8" s="13"/>
      <c r="AD8" s="13"/>
    </row>
    <row r="9" spans="1:30" ht="18.5" thickBot="1" x14ac:dyDescent="0.6">
      <c r="A9" s="12"/>
      <c r="G9" s="12"/>
      <c r="L9" s="13"/>
      <c r="S9" s="12"/>
      <c r="X9" s="13"/>
      <c r="AD9" s="13"/>
    </row>
    <row r="10" spans="1:30" ht="22.5" x14ac:dyDescent="0.55000000000000004">
      <c r="A10" s="12"/>
      <c r="G10" s="132" t="s">
        <v>66</v>
      </c>
      <c r="H10" s="133"/>
      <c r="I10" s="133"/>
      <c r="J10" s="133"/>
      <c r="K10" s="133"/>
      <c r="L10" s="134"/>
      <c r="M10" s="79"/>
      <c r="N10" s="79"/>
      <c r="O10" s="79"/>
      <c r="P10" s="79"/>
      <c r="Q10" s="79"/>
      <c r="R10" s="79"/>
      <c r="S10" s="132" t="s">
        <v>67</v>
      </c>
      <c r="T10" s="133"/>
      <c r="U10" s="10"/>
      <c r="V10" s="10"/>
      <c r="W10" s="10"/>
      <c r="X10" s="11"/>
      <c r="AD10" s="13"/>
    </row>
    <row r="11" spans="1:30" ht="22.5" x14ac:dyDescent="0.55000000000000004">
      <c r="A11" s="12"/>
      <c r="G11" s="135" t="s">
        <v>81</v>
      </c>
      <c r="H11" s="79"/>
      <c r="I11" s="79"/>
      <c r="J11" s="79"/>
      <c r="K11" s="79"/>
      <c r="L11" s="136"/>
      <c r="M11" s="79"/>
      <c r="N11" s="79"/>
      <c r="O11" s="79"/>
      <c r="P11" s="79"/>
      <c r="Q11" s="79"/>
      <c r="R11" s="79"/>
      <c r="S11" s="135" t="s">
        <v>70</v>
      </c>
      <c r="T11" s="79"/>
      <c r="X11" s="13"/>
      <c r="AD11" s="13"/>
    </row>
    <row r="12" spans="1:30" x14ac:dyDescent="0.55000000000000004">
      <c r="A12" s="12"/>
      <c r="G12" s="12"/>
      <c r="L12" s="13"/>
      <c r="S12" s="12"/>
      <c r="X12" s="13"/>
      <c r="AD12" s="13"/>
    </row>
    <row r="13" spans="1:30" x14ac:dyDescent="0.55000000000000004">
      <c r="A13" s="12"/>
      <c r="G13" s="12"/>
      <c r="L13" s="13"/>
      <c r="S13" s="12"/>
      <c r="X13" s="13"/>
      <c r="AD13" s="13"/>
    </row>
    <row r="14" spans="1:30" x14ac:dyDescent="0.55000000000000004">
      <c r="A14" s="12"/>
      <c r="G14" s="12"/>
      <c r="L14" s="13"/>
      <c r="S14" s="12"/>
      <c r="X14" s="13"/>
      <c r="AD14" s="13"/>
    </row>
    <row r="15" spans="1:30" x14ac:dyDescent="0.55000000000000004">
      <c r="A15" s="12"/>
      <c r="G15" s="12"/>
      <c r="L15" s="13"/>
      <c r="S15" s="12"/>
      <c r="X15" s="13"/>
      <c r="AD15" s="13"/>
    </row>
    <row r="16" spans="1:30" x14ac:dyDescent="0.55000000000000004">
      <c r="A16" s="12"/>
      <c r="G16" s="12"/>
      <c r="L16" s="13"/>
      <c r="S16" s="12"/>
      <c r="X16" s="13"/>
      <c r="AD16" s="13"/>
    </row>
    <row r="17" spans="1:30" x14ac:dyDescent="0.55000000000000004">
      <c r="A17" s="12"/>
      <c r="G17" s="12"/>
      <c r="L17" s="13"/>
      <c r="S17" s="12"/>
      <c r="X17" s="13"/>
      <c r="AD17" s="13"/>
    </row>
    <row r="18" spans="1:30" ht="18.5" thickBot="1" x14ac:dyDescent="0.6">
      <c r="A18" s="12"/>
      <c r="G18" s="14"/>
      <c r="H18" s="15"/>
      <c r="I18" s="15"/>
      <c r="J18" s="15"/>
      <c r="K18" s="15"/>
      <c r="L18" s="16"/>
      <c r="S18" s="14"/>
      <c r="T18" s="15"/>
      <c r="U18" s="15"/>
      <c r="V18" s="15"/>
      <c r="W18" s="15"/>
      <c r="X18" s="16"/>
      <c r="AD18" s="13"/>
    </row>
    <row r="19" spans="1:30" ht="22.5" x14ac:dyDescent="0.55000000000000004">
      <c r="A19" s="132" t="s">
        <v>68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4"/>
      <c r="P19" s="132" t="s">
        <v>69</v>
      </c>
      <c r="Q19" s="133"/>
      <c r="R19" s="133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</row>
    <row r="20" spans="1:30" ht="22.5" x14ac:dyDescent="0.55000000000000004">
      <c r="A20" s="135" t="s">
        <v>72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136"/>
      <c r="P20" s="135" t="s">
        <v>73</v>
      </c>
      <c r="Q20" s="79"/>
      <c r="R20" s="79"/>
      <c r="AD20" s="13"/>
    </row>
    <row r="21" spans="1:30" x14ac:dyDescent="0.55000000000000004">
      <c r="A21" s="12"/>
      <c r="O21" s="13"/>
      <c r="P21" s="12"/>
      <c r="AD21" s="13"/>
    </row>
    <row r="22" spans="1:30" x14ac:dyDescent="0.55000000000000004">
      <c r="A22" s="12"/>
      <c r="O22" s="13"/>
      <c r="P22" s="12"/>
      <c r="AD22" s="13"/>
    </row>
    <row r="23" spans="1:30" x14ac:dyDescent="0.55000000000000004">
      <c r="A23" s="12"/>
      <c r="O23" s="13"/>
      <c r="P23" s="12"/>
      <c r="AD23" s="13"/>
    </row>
    <row r="24" spans="1:30" ht="18.5" thickBot="1" x14ac:dyDescent="0.6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4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6"/>
    </row>
  </sheetData>
  <phoneticPr fontId="1"/>
  <pageMargins left="0.51181102362204722" right="0.51181102362204722" top="0.74803149606299213" bottom="0.74803149606299213" header="0.31496062992125984" footer="0.31496062992125984"/>
  <pageSetup paperSize="9" orientation="landscape" r:id="rId1"/>
  <headerFooter>
    <oddHeader>&amp;L組織のビジネスモデル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7800-CC13-4A16-990F-CCE2A9CAEB39}">
  <dimension ref="A1:M26"/>
  <sheetViews>
    <sheetView zoomScale="69" zoomScaleNormal="90" workbookViewId="0">
      <selection activeCell="A2" sqref="A2:D2"/>
    </sheetView>
  </sheetViews>
  <sheetFormatPr defaultRowHeight="18" x14ac:dyDescent="0.55000000000000004"/>
  <cols>
    <col min="1" max="1" width="11.25" bestFit="1" customWidth="1"/>
    <col min="2" max="3" width="13.5" bestFit="1" customWidth="1"/>
    <col min="4" max="4" width="9.4140625" bestFit="1" customWidth="1"/>
  </cols>
  <sheetData>
    <row r="1" spans="1:13" ht="20" x14ac:dyDescent="0.55000000000000004">
      <c r="A1" s="74" t="s">
        <v>21</v>
      </c>
      <c r="B1" s="75"/>
      <c r="C1" s="75"/>
      <c r="D1" s="76"/>
      <c r="E1" s="77" t="s">
        <v>22</v>
      </c>
      <c r="F1" s="78"/>
      <c r="G1" s="75"/>
      <c r="H1" s="75"/>
      <c r="I1" s="78" t="s">
        <v>25</v>
      </c>
      <c r="J1" s="78"/>
      <c r="K1" s="75"/>
      <c r="L1" s="75"/>
      <c r="M1" s="76"/>
    </row>
    <row r="2" spans="1:13" ht="20" x14ac:dyDescent="0.55000000000000004">
      <c r="A2" s="19" t="s">
        <v>74</v>
      </c>
      <c r="B2" s="20"/>
      <c r="C2" s="20"/>
      <c r="D2" s="21"/>
      <c r="E2" s="22" t="s">
        <v>23</v>
      </c>
      <c r="F2" s="23"/>
      <c r="G2" s="20" t="s">
        <v>24</v>
      </c>
      <c r="H2" s="20"/>
      <c r="I2" s="23" t="s">
        <v>26</v>
      </c>
      <c r="J2" s="23"/>
      <c r="K2" s="24">
        <v>62.3</v>
      </c>
      <c r="L2" s="20" t="s">
        <v>27</v>
      </c>
      <c r="M2" s="21"/>
    </row>
    <row r="3" spans="1:13" ht="20" x14ac:dyDescent="0.55000000000000004">
      <c r="A3" s="19" t="s">
        <v>75</v>
      </c>
      <c r="B3" s="20"/>
      <c r="C3" s="20"/>
      <c r="D3" s="21"/>
      <c r="E3" s="25"/>
      <c r="F3" s="20"/>
      <c r="G3" s="20"/>
      <c r="H3" s="20"/>
      <c r="I3" s="20"/>
      <c r="J3" s="20"/>
      <c r="K3" s="20"/>
      <c r="L3" s="20"/>
      <c r="M3" s="21"/>
    </row>
    <row r="4" spans="1:13" ht="20.5" thickBot="1" x14ac:dyDescent="0.6">
      <c r="A4" s="26" t="s">
        <v>20</v>
      </c>
      <c r="B4" s="27"/>
      <c r="C4" s="27"/>
      <c r="D4" s="28"/>
      <c r="E4" s="29"/>
      <c r="F4" s="27"/>
      <c r="G4" s="27"/>
      <c r="H4" s="27"/>
      <c r="I4" s="27"/>
      <c r="J4" s="27"/>
      <c r="K4" s="27"/>
      <c r="L4" s="27"/>
      <c r="M4" s="28"/>
    </row>
    <row r="5" spans="1:13" ht="20.5" thickBot="1" x14ac:dyDescent="0.6">
      <c r="A5" s="30" t="s">
        <v>0</v>
      </c>
      <c r="B5" s="31" t="s">
        <v>1</v>
      </c>
      <c r="C5" s="32" t="s">
        <v>2</v>
      </c>
      <c r="D5" s="32" t="s">
        <v>3</v>
      </c>
      <c r="E5" s="32" t="s">
        <v>3</v>
      </c>
      <c r="F5" s="32" t="s">
        <v>4</v>
      </c>
      <c r="G5" s="32" t="s">
        <v>5</v>
      </c>
      <c r="H5" s="32" t="s">
        <v>6</v>
      </c>
      <c r="I5" s="32" t="s">
        <v>7</v>
      </c>
      <c r="J5" s="33" t="s">
        <v>8</v>
      </c>
      <c r="K5" s="34" t="s">
        <v>9</v>
      </c>
      <c r="L5" s="35"/>
      <c r="M5" s="36"/>
    </row>
    <row r="6" spans="1:13" ht="20.5" thickTop="1" x14ac:dyDescent="0.55000000000000004">
      <c r="A6" s="37" t="s">
        <v>10</v>
      </c>
      <c r="B6" s="38" t="s">
        <v>19</v>
      </c>
      <c r="C6" s="39" t="s">
        <v>19</v>
      </c>
      <c r="D6" s="40">
        <v>1</v>
      </c>
      <c r="E6" s="39"/>
      <c r="F6" s="41"/>
      <c r="G6" s="41"/>
      <c r="H6" s="41"/>
      <c r="I6" s="39"/>
      <c r="J6" s="42"/>
      <c r="K6" s="43"/>
      <c r="L6" s="39"/>
      <c r="M6" s="42"/>
    </row>
    <row r="7" spans="1:13" ht="20" x14ac:dyDescent="0.55000000000000004">
      <c r="A7" s="44"/>
      <c r="B7" s="45"/>
      <c r="C7" s="46"/>
      <c r="D7" s="46"/>
      <c r="E7" s="46"/>
      <c r="F7" s="47"/>
      <c r="G7" s="47"/>
      <c r="H7" s="47"/>
      <c r="I7" s="46"/>
      <c r="J7" s="48"/>
      <c r="K7" s="49"/>
      <c r="L7" s="46"/>
      <c r="M7" s="48"/>
    </row>
    <row r="8" spans="1:13" ht="20" x14ac:dyDescent="0.55000000000000004">
      <c r="A8" s="50" t="s">
        <v>11</v>
      </c>
      <c r="B8" s="51" t="s">
        <v>19</v>
      </c>
      <c r="C8" s="52" t="s">
        <v>19</v>
      </c>
      <c r="D8" s="53">
        <v>1</v>
      </c>
      <c r="E8" s="52"/>
      <c r="F8" s="52"/>
      <c r="G8" s="52"/>
      <c r="H8" s="52"/>
      <c r="I8" s="52"/>
      <c r="J8" s="54"/>
      <c r="K8" s="55"/>
      <c r="L8" s="52"/>
      <c r="M8" s="54"/>
    </row>
    <row r="9" spans="1:13" ht="20" x14ac:dyDescent="0.55000000000000004">
      <c r="A9" s="44"/>
      <c r="B9" s="56"/>
      <c r="C9" s="46"/>
      <c r="D9" s="46"/>
      <c r="E9" s="46"/>
      <c r="F9" s="46"/>
      <c r="G9" s="46"/>
      <c r="H9" s="46"/>
      <c r="I9" s="46"/>
      <c r="J9" s="48"/>
      <c r="K9" s="49"/>
      <c r="L9" s="46"/>
      <c r="M9" s="48"/>
    </row>
    <row r="10" spans="1:13" ht="20" x14ac:dyDescent="0.55000000000000004">
      <c r="A10" s="57" t="s">
        <v>12</v>
      </c>
      <c r="B10" s="51" t="s">
        <v>19</v>
      </c>
      <c r="C10" s="52" t="s">
        <v>19</v>
      </c>
      <c r="D10" s="53">
        <v>1</v>
      </c>
      <c r="E10" s="52"/>
      <c r="F10" s="52"/>
      <c r="G10" s="52"/>
      <c r="H10" s="52"/>
      <c r="I10" s="52"/>
      <c r="J10" s="54"/>
      <c r="K10" s="55"/>
      <c r="L10" s="52"/>
      <c r="M10" s="54"/>
    </row>
    <row r="11" spans="1:13" ht="20" x14ac:dyDescent="0.55000000000000004">
      <c r="A11" s="58"/>
      <c r="B11" s="56"/>
      <c r="C11" s="46"/>
      <c r="D11" s="46"/>
      <c r="E11" s="46"/>
      <c r="F11" s="46"/>
      <c r="G11" s="46"/>
      <c r="H11" s="46"/>
      <c r="I11" s="46"/>
      <c r="J11" s="48"/>
      <c r="K11" s="49"/>
      <c r="L11" s="46"/>
      <c r="M11" s="48"/>
    </row>
    <row r="12" spans="1:13" ht="20" x14ac:dyDescent="0.55000000000000004">
      <c r="A12" s="57" t="s">
        <v>13</v>
      </c>
      <c r="B12" s="51" t="s">
        <v>19</v>
      </c>
      <c r="C12" s="52" t="s">
        <v>19</v>
      </c>
      <c r="D12" s="53">
        <v>0.8</v>
      </c>
      <c r="E12" s="52"/>
      <c r="F12" s="52"/>
      <c r="G12" s="52"/>
      <c r="H12" s="52"/>
      <c r="I12" s="52"/>
      <c r="J12" s="54"/>
      <c r="K12" s="55"/>
      <c r="L12" s="52"/>
      <c r="M12" s="54"/>
    </row>
    <row r="13" spans="1:13" ht="20" x14ac:dyDescent="0.55000000000000004">
      <c r="A13" s="58"/>
      <c r="B13" s="56"/>
      <c r="C13" s="46"/>
      <c r="D13" s="46"/>
      <c r="E13" s="46"/>
      <c r="F13" s="46"/>
      <c r="G13" s="46"/>
      <c r="H13" s="46"/>
      <c r="I13" s="46"/>
      <c r="J13" s="48"/>
      <c r="K13" s="49"/>
      <c r="L13" s="46"/>
      <c r="M13" s="48"/>
    </row>
    <row r="14" spans="1:13" ht="20" x14ac:dyDescent="0.55000000000000004">
      <c r="A14" s="57" t="s">
        <v>14</v>
      </c>
      <c r="B14" s="51" t="s">
        <v>19</v>
      </c>
      <c r="C14" s="52" t="s">
        <v>19</v>
      </c>
      <c r="D14" s="53">
        <v>0.4</v>
      </c>
      <c r="E14" s="52"/>
      <c r="F14" s="52"/>
      <c r="G14" s="52"/>
      <c r="H14" s="52"/>
      <c r="I14" s="52"/>
      <c r="J14" s="54"/>
      <c r="K14" s="55"/>
      <c r="L14" s="52"/>
      <c r="M14" s="54"/>
    </row>
    <row r="15" spans="1:13" ht="20" x14ac:dyDescent="0.55000000000000004">
      <c r="A15" s="58"/>
      <c r="B15" s="56"/>
      <c r="C15" s="46"/>
      <c r="D15" s="46"/>
      <c r="E15" s="46"/>
      <c r="F15" s="46"/>
      <c r="G15" s="46"/>
      <c r="H15" s="46"/>
      <c r="I15" s="46"/>
      <c r="J15" s="48"/>
      <c r="K15" s="49"/>
      <c r="L15" s="46"/>
      <c r="M15" s="48"/>
    </row>
    <row r="16" spans="1:13" ht="20" x14ac:dyDescent="0.55000000000000004">
      <c r="A16" s="57" t="s">
        <v>15</v>
      </c>
      <c r="B16" s="51"/>
      <c r="C16" s="52"/>
      <c r="D16" s="52"/>
      <c r="E16" s="52"/>
      <c r="F16" s="52"/>
      <c r="G16" s="52"/>
      <c r="H16" s="52"/>
      <c r="I16" s="52"/>
      <c r="J16" s="54"/>
      <c r="K16" s="55"/>
      <c r="L16" s="52"/>
      <c r="M16" s="54"/>
    </row>
    <row r="17" spans="1:13" ht="20" x14ac:dyDescent="0.55000000000000004">
      <c r="A17" s="58"/>
      <c r="B17" s="56"/>
      <c r="C17" s="46"/>
      <c r="D17" s="46"/>
      <c r="E17" s="46"/>
      <c r="F17" s="46"/>
      <c r="G17" s="46"/>
      <c r="H17" s="46"/>
      <c r="I17" s="46"/>
      <c r="J17" s="48"/>
      <c r="K17" s="49"/>
      <c r="L17" s="46"/>
      <c r="M17" s="48"/>
    </row>
    <row r="18" spans="1:13" ht="20" x14ac:dyDescent="0.55000000000000004">
      <c r="A18" s="57" t="s">
        <v>16</v>
      </c>
      <c r="B18" s="51"/>
      <c r="C18" s="52"/>
      <c r="D18" s="52"/>
      <c r="E18" s="52"/>
      <c r="F18" s="52"/>
      <c r="G18" s="52"/>
      <c r="H18" s="52"/>
      <c r="I18" s="52"/>
      <c r="J18" s="54"/>
      <c r="K18" s="55"/>
      <c r="L18" s="52"/>
      <c r="M18" s="54"/>
    </row>
    <row r="19" spans="1:13" ht="20" x14ac:dyDescent="0.55000000000000004">
      <c r="A19" s="58"/>
      <c r="B19" s="56"/>
      <c r="C19" s="46"/>
      <c r="D19" s="46"/>
      <c r="E19" s="46"/>
      <c r="F19" s="46"/>
      <c r="G19" s="46"/>
      <c r="H19" s="46"/>
      <c r="I19" s="46"/>
      <c r="J19" s="48"/>
      <c r="K19" s="49"/>
      <c r="L19" s="46"/>
      <c r="M19" s="48"/>
    </row>
    <row r="20" spans="1:13" ht="20" x14ac:dyDescent="0.55000000000000004">
      <c r="A20" s="57" t="s">
        <v>17</v>
      </c>
      <c r="B20" s="51"/>
      <c r="C20" s="52"/>
      <c r="D20" s="52"/>
      <c r="E20" s="52"/>
      <c r="F20" s="52"/>
      <c r="G20" s="52"/>
      <c r="H20" s="52"/>
      <c r="I20" s="52"/>
      <c r="J20" s="54"/>
      <c r="K20" s="55"/>
      <c r="L20" s="52"/>
      <c r="M20" s="54"/>
    </row>
    <row r="21" spans="1:13" ht="20" x14ac:dyDescent="0.55000000000000004">
      <c r="A21" s="58"/>
      <c r="B21" s="56"/>
      <c r="C21" s="46"/>
      <c r="D21" s="46"/>
      <c r="E21" s="46"/>
      <c r="F21" s="46"/>
      <c r="G21" s="46"/>
      <c r="H21" s="46"/>
      <c r="I21" s="46"/>
      <c r="J21" s="48"/>
      <c r="K21" s="49"/>
      <c r="L21" s="46"/>
      <c r="M21" s="48"/>
    </row>
    <row r="22" spans="1:13" ht="20" x14ac:dyDescent="0.55000000000000004">
      <c r="A22" s="57" t="s">
        <v>18</v>
      </c>
      <c r="B22" s="51"/>
      <c r="C22" s="52"/>
      <c r="D22" s="52"/>
      <c r="E22" s="52"/>
      <c r="F22" s="52"/>
      <c r="G22" s="52"/>
      <c r="H22" s="52"/>
      <c r="I22" s="52"/>
      <c r="J22" s="54"/>
      <c r="K22" s="55"/>
      <c r="L22" s="52"/>
      <c r="M22" s="54"/>
    </row>
    <row r="23" spans="1:13" ht="20" x14ac:dyDescent="0.55000000000000004">
      <c r="A23" s="37"/>
      <c r="B23" s="38"/>
      <c r="C23" s="41"/>
      <c r="D23" s="41"/>
      <c r="E23" s="41"/>
      <c r="F23" s="41"/>
      <c r="G23" s="41"/>
      <c r="H23" s="41"/>
      <c r="I23" s="41"/>
      <c r="J23" s="59"/>
      <c r="K23" s="60"/>
      <c r="L23" s="41"/>
      <c r="M23" s="59"/>
    </row>
    <row r="24" spans="1:13" ht="20" x14ac:dyDescent="0.55000000000000004">
      <c r="A24" s="61" t="s">
        <v>9</v>
      </c>
      <c r="B24" s="62"/>
      <c r="C24" s="63"/>
      <c r="D24" s="64"/>
      <c r="E24" s="63"/>
      <c r="F24" s="64"/>
      <c r="G24" s="63"/>
      <c r="H24" s="64"/>
      <c r="I24" s="63"/>
      <c r="J24" s="65"/>
      <c r="K24" s="63"/>
      <c r="L24" s="64"/>
      <c r="M24" s="66"/>
    </row>
    <row r="25" spans="1:13" ht="20.5" thickBot="1" x14ac:dyDescent="0.6">
      <c r="A25" s="67"/>
      <c r="B25" s="68"/>
      <c r="C25" s="69"/>
      <c r="D25" s="70"/>
      <c r="E25" s="69"/>
      <c r="F25" s="70"/>
      <c r="G25" s="69"/>
      <c r="H25" s="70"/>
      <c r="I25" s="69"/>
      <c r="J25" s="71"/>
      <c r="K25" s="69"/>
      <c r="L25" s="70"/>
      <c r="M25" s="72"/>
    </row>
    <row r="26" spans="1:13" ht="20" x14ac:dyDescent="0.55000000000000004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</sheetData>
  <mergeCells count="14">
    <mergeCell ref="K5:M5"/>
    <mergeCell ref="B4:D4"/>
    <mergeCell ref="A3:D3"/>
    <mergeCell ref="A2:D2"/>
    <mergeCell ref="B1:D1"/>
    <mergeCell ref="E1:F1"/>
    <mergeCell ref="E2:F2"/>
    <mergeCell ref="E3:M4"/>
    <mergeCell ref="G1:H1"/>
    <mergeCell ref="K1:M1"/>
    <mergeCell ref="G2:H2"/>
    <mergeCell ref="I2:J2"/>
    <mergeCell ref="I1:J1"/>
    <mergeCell ref="L2:M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410A-1050-466C-A52E-EBD7DBA5F117}">
  <dimension ref="A1:M18"/>
  <sheetViews>
    <sheetView zoomScale="84" workbookViewId="0">
      <selection activeCell="H16" sqref="H16"/>
    </sheetView>
  </sheetViews>
  <sheetFormatPr defaultRowHeight="18" x14ac:dyDescent="0.55000000000000004"/>
  <cols>
    <col min="3" max="12" width="5.58203125" customWidth="1"/>
  </cols>
  <sheetData>
    <row r="1" spans="1:13" ht="22.5" x14ac:dyDescent="0.55000000000000004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 ht="23" thickBot="1" x14ac:dyDescent="0.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2.5" x14ac:dyDescent="0.55000000000000004">
      <c r="A3" s="80" t="s">
        <v>31</v>
      </c>
      <c r="B3" s="81" t="s">
        <v>28</v>
      </c>
      <c r="C3" s="82" t="s">
        <v>30</v>
      </c>
      <c r="D3" s="82"/>
      <c r="E3" s="82"/>
      <c r="F3" s="82"/>
      <c r="G3" s="82"/>
      <c r="H3" s="82" t="s">
        <v>29</v>
      </c>
      <c r="I3" s="82"/>
      <c r="J3" s="82"/>
      <c r="K3" s="82"/>
      <c r="L3" s="83"/>
      <c r="M3" s="79"/>
    </row>
    <row r="4" spans="1:13" ht="22.5" x14ac:dyDescent="0.55000000000000004">
      <c r="A4" s="79"/>
      <c r="B4" s="84">
        <v>0.9</v>
      </c>
      <c r="C4" s="85">
        <v>0.05</v>
      </c>
      <c r="D4" s="86">
        <v>0.09</v>
      </c>
      <c r="E4" s="87">
        <v>0.18</v>
      </c>
      <c r="F4" s="87">
        <v>0.36</v>
      </c>
      <c r="G4" s="87">
        <v>0.72</v>
      </c>
      <c r="H4" s="87">
        <v>0.72</v>
      </c>
      <c r="I4" s="87">
        <v>0.36</v>
      </c>
      <c r="J4" s="87">
        <v>0.18</v>
      </c>
      <c r="K4" s="86">
        <v>0.09</v>
      </c>
      <c r="L4" s="88">
        <v>0.05</v>
      </c>
      <c r="M4" s="79"/>
    </row>
    <row r="5" spans="1:13" ht="22.5" x14ac:dyDescent="0.55000000000000004">
      <c r="A5" s="79"/>
      <c r="B5" s="84">
        <v>0.7</v>
      </c>
      <c r="C5" s="85">
        <v>0.04</v>
      </c>
      <c r="D5" s="86">
        <v>7.0000000000000007E-2</v>
      </c>
      <c r="E5" s="86">
        <v>0.14000000000000001</v>
      </c>
      <c r="F5" s="87">
        <v>0.28000000000000003</v>
      </c>
      <c r="G5" s="87">
        <v>0.56000000000000005</v>
      </c>
      <c r="H5" s="87">
        <v>0.56000000000000005</v>
      </c>
      <c r="I5" s="87">
        <v>0.28000000000000003</v>
      </c>
      <c r="J5" s="86">
        <v>0.14000000000000001</v>
      </c>
      <c r="K5" s="86">
        <v>7.0000000000000007E-2</v>
      </c>
      <c r="L5" s="88">
        <v>0.04</v>
      </c>
      <c r="M5" s="79"/>
    </row>
    <row r="6" spans="1:13" ht="22.5" x14ac:dyDescent="0.55000000000000004">
      <c r="A6" s="79"/>
      <c r="B6" s="84">
        <v>0.5</v>
      </c>
      <c r="C6" s="85">
        <v>0.03</v>
      </c>
      <c r="D6" s="85">
        <v>0.05</v>
      </c>
      <c r="E6" s="89">
        <v>0.1</v>
      </c>
      <c r="F6" s="90">
        <v>0.2</v>
      </c>
      <c r="G6" s="90">
        <v>0.4</v>
      </c>
      <c r="H6" s="90">
        <v>0.4</v>
      </c>
      <c r="I6" s="90">
        <v>0.2</v>
      </c>
      <c r="J6" s="89">
        <v>0.1</v>
      </c>
      <c r="K6" s="85">
        <v>0.05</v>
      </c>
      <c r="L6" s="88">
        <v>0.03</v>
      </c>
      <c r="M6" s="79"/>
    </row>
    <row r="7" spans="1:13" ht="22.5" x14ac:dyDescent="0.55000000000000004">
      <c r="A7" s="79"/>
      <c r="B7" s="84">
        <v>0.3</v>
      </c>
      <c r="C7" s="85">
        <v>0.02</v>
      </c>
      <c r="D7" s="85">
        <v>0.03</v>
      </c>
      <c r="E7" s="86">
        <v>0.06</v>
      </c>
      <c r="F7" s="86">
        <v>0.12</v>
      </c>
      <c r="G7" s="87">
        <v>0.24</v>
      </c>
      <c r="H7" s="87">
        <v>0.24</v>
      </c>
      <c r="I7" s="86">
        <v>0.12</v>
      </c>
      <c r="J7" s="86">
        <v>0.06</v>
      </c>
      <c r="K7" s="85">
        <v>0.03</v>
      </c>
      <c r="L7" s="88">
        <v>0.02</v>
      </c>
      <c r="M7" s="79"/>
    </row>
    <row r="8" spans="1:13" ht="22.5" x14ac:dyDescent="0.55000000000000004">
      <c r="A8" s="79"/>
      <c r="B8" s="84">
        <v>0.1</v>
      </c>
      <c r="C8" s="85">
        <v>0.01</v>
      </c>
      <c r="D8" s="85">
        <v>0.01</v>
      </c>
      <c r="E8" s="85">
        <v>0.02</v>
      </c>
      <c r="F8" s="85">
        <v>0.04</v>
      </c>
      <c r="G8" s="86">
        <v>0.08</v>
      </c>
      <c r="H8" s="86">
        <v>0.08</v>
      </c>
      <c r="I8" s="85">
        <v>0.04</v>
      </c>
      <c r="J8" s="85">
        <v>0.02</v>
      </c>
      <c r="K8" s="85">
        <v>0.01</v>
      </c>
      <c r="L8" s="88">
        <v>0.01</v>
      </c>
      <c r="M8" s="79"/>
    </row>
    <row r="9" spans="1:13" ht="23" thickBot="1" x14ac:dyDescent="0.6">
      <c r="A9" s="79"/>
      <c r="B9" s="91"/>
      <c r="C9" s="92">
        <v>0.05</v>
      </c>
      <c r="D9" s="93">
        <v>0.1</v>
      </c>
      <c r="E9" s="93">
        <v>0.2</v>
      </c>
      <c r="F9" s="93">
        <v>0.4</v>
      </c>
      <c r="G9" s="93">
        <v>0.8</v>
      </c>
      <c r="H9" s="93">
        <v>0.8</v>
      </c>
      <c r="I9" s="93">
        <v>0.4</v>
      </c>
      <c r="J9" s="93">
        <v>0.2</v>
      </c>
      <c r="K9" s="93">
        <v>0.1</v>
      </c>
      <c r="L9" s="94">
        <v>0.05</v>
      </c>
      <c r="M9" s="79"/>
    </row>
    <row r="10" spans="1:13" ht="22.5" x14ac:dyDescent="0.55000000000000004">
      <c r="A10" s="79"/>
      <c r="B10" s="95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</row>
    <row r="11" spans="1:13" ht="22.5" x14ac:dyDescent="0.55000000000000004">
      <c r="A11" s="79"/>
      <c r="B11" s="95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</row>
    <row r="12" spans="1:13" ht="22.5" x14ac:dyDescent="0.55000000000000004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</row>
    <row r="13" spans="1:13" ht="22.5" x14ac:dyDescent="0.55000000000000004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</row>
    <row r="14" spans="1:13" ht="22.5" x14ac:dyDescent="0.5500000000000000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</row>
    <row r="15" spans="1:13" ht="22.5" x14ac:dyDescent="0.55000000000000004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</row>
    <row r="16" spans="1:13" ht="22.5" x14ac:dyDescent="0.55000000000000004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</row>
    <row r="17" spans="1:13" ht="22.5" x14ac:dyDescent="0.55000000000000004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1:13" ht="22.5" x14ac:dyDescent="0.55000000000000004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</row>
  </sheetData>
  <mergeCells count="2">
    <mergeCell ref="H3:L3"/>
    <mergeCell ref="C3:G3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1BD2-153E-4295-80BD-AA7707B95F92}">
  <sheetPr>
    <pageSetUpPr fitToPage="1"/>
  </sheetPr>
  <dimension ref="B1:CT33"/>
  <sheetViews>
    <sheetView showGridLines="0" zoomScale="75" zoomScaleNormal="70" workbookViewId="0">
      <selection activeCell="B1" sqref="B1:D2"/>
    </sheetView>
  </sheetViews>
  <sheetFormatPr defaultColWidth="2.83203125" defaultRowHeight="17.5" x14ac:dyDescent="0.55000000000000004"/>
  <cols>
    <col min="1" max="1" width="1.83203125" style="8" customWidth="1"/>
    <col min="2" max="2" width="36.4140625" style="9" bestFit="1" customWidth="1"/>
    <col min="3" max="4" width="8.75" style="8" customWidth="1"/>
    <col min="5" max="5" width="12.5" style="8" bestFit="1" customWidth="1"/>
    <col min="6" max="6" width="13.6640625" style="8" bestFit="1" customWidth="1"/>
    <col min="7" max="36" width="3.75" style="7" customWidth="1"/>
    <col min="37" max="37" width="3.08203125" style="7" bestFit="1" customWidth="1"/>
    <col min="38" max="45" width="3.08203125" style="8" bestFit="1" customWidth="1"/>
    <col min="46" max="66" width="4" style="8" bestFit="1" customWidth="1"/>
    <col min="67" max="75" width="3.08203125" style="8" bestFit="1" customWidth="1"/>
    <col min="76" max="88" width="4" style="8" bestFit="1" customWidth="1"/>
    <col min="89" max="89" width="2.83203125" style="8" customWidth="1"/>
    <col min="90" max="97" width="4" style="8" bestFit="1" customWidth="1"/>
    <col min="98" max="16384" width="2.83203125" style="8"/>
  </cols>
  <sheetData>
    <row r="1" spans="2:98" ht="18" customHeight="1" x14ac:dyDescent="0.55000000000000004">
      <c r="B1" s="17" t="s">
        <v>52</v>
      </c>
      <c r="C1" s="17"/>
      <c r="D1" s="17"/>
      <c r="E1" s="128" t="s">
        <v>53</v>
      </c>
      <c r="F1" s="129">
        <v>46236</v>
      </c>
    </row>
    <row r="2" spans="2:98" ht="18" customHeight="1" x14ac:dyDescent="0.55000000000000004">
      <c r="B2" s="18"/>
      <c r="C2" s="18"/>
      <c r="D2" s="18"/>
      <c r="E2" s="130" t="s">
        <v>54</v>
      </c>
      <c r="F2" s="131">
        <v>46332</v>
      </c>
    </row>
    <row r="3" spans="2:98" x14ac:dyDescent="0.55000000000000004">
      <c r="B3" s="7"/>
    </row>
    <row r="4" spans="2:98" ht="22.5" x14ac:dyDescent="0.55000000000000004">
      <c r="B4" s="96" t="s">
        <v>55</v>
      </c>
      <c r="C4" s="96" t="s">
        <v>56</v>
      </c>
      <c r="D4" s="97" t="s">
        <v>57</v>
      </c>
      <c r="E4" s="96" t="s">
        <v>53</v>
      </c>
      <c r="F4" s="98" t="s">
        <v>58</v>
      </c>
      <c r="G4" s="99">
        <f>G5</f>
        <v>46236</v>
      </c>
      <c r="H4" s="100"/>
      <c r="I4" s="100"/>
      <c r="J4" s="100"/>
      <c r="K4" s="100"/>
      <c r="L4" s="100"/>
      <c r="M4" s="101"/>
      <c r="N4" s="99">
        <f t="shared" ref="N4" si="0">N5</f>
        <v>46243</v>
      </c>
      <c r="O4" s="100"/>
      <c r="P4" s="100"/>
      <c r="Q4" s="100"/>
      <c r="R4" s="100"/>
      <c r="S4" s="100"/>
      <c r="T4" s="101"/>
      <c r="U4" s="99">
        <f t="shared" ref="U4" si="1">U5</f>
        <v>46250</v>
      </c>
      <c r="V4" s="100"/>
      <c r="W4" s="100"/>
      <c r="X4" s="100"/>
      <c r="Y4" s="100"/>
      <c r="Z4" s="100"/>
      <c r="AA4" s="101"/>
      <c r="AB4" s="99">
        <f t="shared" ref="AB4" si="2">AB5</f>
        <v>46257</v>
      </c>
      <c r="AC4" s="100"/>
      <c r="AD4" s="100"/>
      <c r="AE4" s="100"/>
      <c r="AF4" s="100"/>
      <c r="AG4" s="100"/>
      <c r="AH4" s="100"/>
      <c r="AI4" s="99">
        <f t="shared" ref="AI4" si="3">AI5</f>
        <v>46264</v>
      </c>
      <c r="AJ4" s="100"/>
      <c r="AK4" s="100"/>
      <c r="AL4" s="100"/>
      <c r="AM4" s="100"/>
      <c r="AN4" s="100"/>
      <c r="AO4" s="100"/>
      <c r="AP4" s="99">
        <f t="shared" ref="AP4" si="4">AP5</f>
        <v>46271</v>
      </c>
      <c r="AQ4" s="100"/>
      <c r="AR4" s="100"/>
      <c r="AS4" s="100"/>
      <c r="AT4" s="100"/>
      <c r="AU4" s="100"/>
      <c r="AV4" s="100"/>
      <c r="AW4" s="99">
        <f t="shared" ref="AW4" si="5">AW5</f>
        <v>46278</v>
      </c>
      <c r="AX4" s="100"/>
      <c r="AY4" s="100"/>
      <c r="AZ4" s="100"/>
      <c r="BA4" s="100"/>
      <c r="BB4" s="100"/>
      <c r="BC4" s="100"/>
      <c r="BD4" s="99">
        <f t="shared" ref="BD4" si="6">BD5</f>
        <v>46285</v>
      </c>
      <c r="BE4" s="100"/>
      <c r="BF4" s="100"/>
      <c r="BG4" s="100"/>
      <c r="BH4" s="100"/>
      <c r="BI4" s="100"/>
      <c r="BJ4" s="100"/>
      <c r="BK4" s="99">
        <f t="shared" ref="BK4" si="7">BK5</f>
        <v>46292</v>
      </c>
      <c r="BL4" s="100"/>
      <c r="BM4" s="100"/>
      <c r="BN4" s="100"/>
      <c r="BO4" s="100"/>
      <c r="BP4" s="100"/>
      <c r="BQ4" s="100"/>
      <c r="BR4" s="99">
        <f t="shared" ref="BR4" si="8">BR5</f>
        <v>46299</v>
      </c>
      <c r="BS4" s="100"/>
      <c r="BT4" s="100"/>
      <c r="BU4" s="100"/>
      <c r="BV4" s="100"/>
      <c r="BW4" s="100"/>
      <c r="BX4" s="100"/>
      <c r="BY4" s="99">
        <f t="shared" ref="BY4" si="9">BY5</f>
        <v>46306</v>
      </c>
      <c r="BZ4" s="100"/>
      <c r="CA4" s="100"/>
      <c r="CB4" s="100"/>
      <c r="CC4" s="100"/>
      <c r="CD4" s="100"/>
      <c r="CE4" s="100"/>
      <c r="CF4" s="99">
        <f t="shared" ref="CF4" si="10">CF5</f>
        <v>46313</v>
      </c>
      <c r="CG4" s="100"/>
      <c r="CH4" s="100"/>
      <c r="CI4" s="100"/>
      <c r="CJ4" s="100"/>
      <c r="CK4" s="100"/>
      <c r="CL4" s="100"/>
      <c r="CM4" s="99">
        <f t="shared" ref="CM4" si="11">CM5</f>
        <v>46320</v>
      </c>
      <c r="CN4" s="100"/>
      <c r="CO4" s="100"/>
      <c r="CP4" s="100"/>
      <c r="CQ4" s="100"/>
      <c r="CR4" s="100"/>
      <c r="CS4" s="100"/>
      <c r="CT4" s="102"/>
    </row>
    <row r="5" spans="2:98" ht="22.5" x14ac:dyDescent="0.55000000000000004">
      <c r="B5" s="96"/>
      <c r="C5" s="97"/>
      <c r="D5" s="103"/>
      <c r="E5" s="97"/>
      <c r="F5" s="97"/>
      <c r="G5" s="104">
        <f>F1</f>
        <v>46236</v>
      </c>
      <c r="H5" s="104">
        <f>G5+1</f>
        <v>46237</v>
      </c>
      <c r="I5" s="104">
        <f t="shared" ref="I5:BT5" si="12">H5+1</f>
        <v>46238</v>
      </c>
      <c r="J5" s="104">
        <f t="shared" si="12"/>
        <v>46239</v>
      </c>
      <c r="K5" s="104">
        <f t="shared" si="12"/>
        <v>46240</v>
      </c>
      <c r="L5" s="104">
        <f t="shared" si="12"/>
        <v>46241</v>
      </c>
      <c r="M5" s="104">
        <f t="shared" si="12"/>
        <v>46242</v>
      </c>
      <c r="N5" s="104">
        <f t="shared" si="12"/>
        <v>46243</v>
      </c>
      <c r="O5" s="104">
        <f t="shared" si="12"/>
        <v>46244</v>
      </c>
      <c r="P5" s="104">
        <f t="shared" si="12"/>
        <v>46245</v>
      </c>
      <c r="Q5" s="104">
        <f t="shared" si="12"/>
        <v>46246</v>
      </c>
      <c r="R5" s="104">
        <f t="shared" si="12"/>
        <v>46247</v>
      </c>
      <c r="S5" s="104">
        <f t="shared" si="12"/>
        <v>46248</v>
      </c>
      <c r="T5" s="104">
        <f t="shared" si="12"/>
        <v>46249</v>
      </c>
      <c r="U5" s="104">
        <f t="shared" si="12"/>
        <v>46250</v>
      </c>
      <c r="V5" s="104">
        <f t="shared" si="12"/>
        <v>46251</v>
      </c>
      <c r="W5" s="104">
        <f t="shared" si="12"/>
        <v>46252</v>
      </c>
      <c r="X5" s="104">
        <f t="shared" si="12"/>
        <v>46253</v>
      </c>
      <c r="Y5" s="104">
        <f t="shared" si="12"/>
        <v>46254</v>
      </c>
      <c r="Z5" s="104">
        <f t="shared" si="12"/>
        <v>46255</v>
      </c>
      <c r="AA5" s="104">
        <f t="shared" si="12"/>
        <v>46256</v>
      </c>
      <c r="AB5" s="104">
        <f t="shared" si="12"/>
        <v>46257</v>
      </c>
      <c r="AC5" s="104">
        <f t="shared" si="12"/>
        <v>46258</v>
      </c>
      <c r="AD5" s="104">
        <f t="shared" si="12"/>
        <v>46259</v>
      </c>
      <c r="AE5" s="104">
        <f t="shared" si="12"/>
        <v>46260</v>
      </c>
      <c r="AF5" s="104">
        <f t="shared" si="12"/>
        <v>46261</v>
      </c>
      <c r="AG5" s="104">
        <f t="shared" si="12"/>
        <v>46262</v>
      </c>
      <c r="AH5" s="104">
        <f t="shared" si="12"/>
        <v>46263</v>
      </c>
      <c r="AI5" s="104">
        <f t="shared" si="12"/>
        <v>46264</v>
      </c>
      <c r="AJ5" s="104">
        <f t="shared" si="12"/>
        <v>46265</v>
      </c>
      <c r="AK5" s="104">
        <f t="shared" si="12"/>
        <v>46266</v>
      </c>
      <c r="AL5" s="104">
        <f t="shared" si="12"/>
        <v>46267</v>
      </c>
      <c r="AM5" s="104">
        <f t="shared" si="12"/>
        <v>46268</v>
      </c>
      <c r="AN5" s="104">
        <f t="shared" si="12"/>
        <v>46269</v>
      </c>
      <c r="AO5" s="104">
        <f t="shared" si="12"/>
        <v>46270</v>
      </c>
      <c r="AP5" s="104">
        <f t="shared" si="12"/>
        <v>46271</v>
      </c>
      <c r="AQ5" s="104">
        <f t="shared" si="12"/>
        <v>46272</v>
      </c>
      <c r="AR5" s="104">
        <f t="shared" si="12"/>
        <v>46273</v>
      </c>
      <c r="AS5" s="104">
        <f t="shared" si="12"/>
        <v>46274</v>
      </c>
      <c r="AT5" s="104">
        <f t="shared" si="12"/>
        <v>46275</v>
      </c>
      <c r="AU5" s="104">
        <f t="shared" si="12"/>
        <v>46276</v>
      </c>
      <c r="AV5" s="104">
        <f t="shared" si="12"/>
        <v>46277</v>
      </c>
      <c r="AW5" s="104">
        <f t="shared" si="12"/>
        <v>46278</v>
      </c>
      <c r="AX5" s="104">
        <f t="shared" si="12"/>
        <v>46279</v>
      </c>
      <c r="AY5" s="104">
        <f t="shared" si="12"/>
        <v>46280</v>
      </c>
      <c r="AZ5" s="104">
        <f t="shared" si="12"/>
        <v>46281</v>
      </c>
      <c r="BA5" s="104">
        <f t="shared" si="12"/>
        <v>46282</v>
      </c>
      <c r="BB5" s="104">
        <f t="shared" si="12"/>
        <v>46283</v>
      </c>
      <c r="BC5" s="104">
        <f t="shared" si="12"/>
        <v>46284</v>
      </c>
      <c r="BD5" s="104">
        <f t="shared" si="12"/>
        <v>46285</v>
      </c>
      <c r="BE5" s="104">
        <f t="shared" si="12"/>
        <v>46286</v>
      </c>
      <c r="BF5" s="104">
        <f t="shared" si="12"/>
        <v>46287</v>
      </c>
      <c r="BG5" s="104">
        <f t="shared" si="12"/>
        <v>46288</v>
      </c>
      <c r="BH5" s="104">
        <f t="shared" si="12"/>
        <v>46289</v>
      </c>
      <c r="BI5" s="104">
        <f t="shared" si="12"/>
        <v>46290</v>
      </c>
      <c r="BJ5" s="104">
        <f t="shared" si="12"/>
        <v>46291</v>
      </c>
      <c r="BK5" s="104">
        <f t="shared" si="12"/>
        <v>46292</v>
      </c>
      <c r="BL5" s="104">
        <f t="shared" si="12"/>
        <v>46293</v>
      </c>
      <c r="BM5" s="104">
        <f t="shared" si="12"/>
        <v>46294</v>
      </c>
      <c r="BN5" s="104">
        <f t="shared" si="12"/>
        <v>46295</v>
      </c>
      <c r="BO5" s="104">
        <f t="shared" si="12"/>
        <v>46296</v>
      </c>
      <c r="BP5" s="104">
        <f t="shared" si="12"/>
        <v>46297</v>
      </c>
      <c r="BQ5" s="104">
        <f t="shared" si="12"/>
        <v>46298</v>
      </c>
      <c r="BR5" s="104">
        <f t="shared" si="12"/>
        <v>46299</v>
      </c>
      <c r="BS5" s="104">
        <f t="shared" si="12"/>
        <v>46300</v>
      </c>
      <c r="BT5" s="104">
        <f t="shared" si="12"/>
        <v>46301</v>
      </c>
      <c r="BU5" s="104">
        <f t="shared" ref="BU5:CS5" si="13">BT5+1</f>
        <v>46302</v>
      </c>
      <c r="BV5" s="104">
        <f t="shared" si="13"/>
        <v>46303</v>
      </c>
      <c r="BW5" s="104">
        <f t="shared" si="13"/>
        <v>46304</v>
      </c>
      <c r="BX5" s="104">
        <f t="shared" si="13"/>
        <v>46305</v>
      </c>
      <c r="BY5" s="104">
        <f t="shared" si="13"/>
        <v>46306</v>
      </c>
      <c r="BZ5" s="104">
        <f t="shared" si="13"/>
        <v>46307</v>
      </c>
      <c r="CA5" s="104">
        <f t="shared" si="13"/>
        <v>46308</v>
      </c>
      <c r="CB5" s="104">
        <f t="shared" si="13"/>
        <v>46309</v>
      </c>
      <c r="CC5" s="104">
        <f t="shared" si="13"/>
        <v>46310</v>
      </c>
      <c r="CD5" s="104">
        <f t="shared" si="13"/>
        <v>46311</v>
      </c>
      <c r="CE5" s="104">
        <f t="shared" si="13"/>
        <v>46312</v>
      </c>
      <c r="CF5" s="104">
        <f t="shared" si="13"/>
        <v>46313</v>
      </c>
      <c r="CG5" s="104">
        <f t="shared" si="13"/>
        <v>46314</v>
      </c>
      <c r="CH5" s="104">
        <f t="shared" si="13"/>
        <v>46315</v>
      </c>
      <c r="CI5" s="104">
        <f t="shared" si="13"/>
        <v>46316</v>
      </c>
      <c r="CJ5" s="104">
        <f t="shared" si="13"/>
        <v>46317</v>
      </c>
      <c r="CK5" s="104">
        <f t="shared" si="13"/>
        <v>46318</v>
      </c>
      <c r="CL5" s="104">
        <f t="shared" si="13"/>
        <v>46319</v>
      </c>
      <c r="CM5" s="104">
        <f t="shared" si="13"/>
        <v>46320</v>
      </c>
      <c r="CN5" s="104">
        <f t="shared" si="13"/>
        <v>46321</v>
      </c>
      <c r="CO5" s="104">
        <f t="shared" si="13"/>
        <v>46322</v>
      </c>
      <c r="CP5" s="104">
        <f t="shared" si="13"/>
        <v>46323</v>
      </c>
      <c r="CQ5" s="104">
        <f t="shared" si="13"/>
        <v>46324</v>
      </c>
      <c r="CR5" s="104">
        <f t="shared" si="13"/>
        <v>46325</v>
      </c>
      <c r="CS5" s="104">
        <f t="shared" si="13"/>
        <v>46326</v>
      </c>
      <c r="CT5" s="102"/>
    </row>
    <row r="6" spans="2:98" ht="21.75" customHeight="1" x14ac:dyDescent="0.55000000000000004">
      <c r="B6" s="105" t="s">
        <v>59</v>
      </c>
      <c r="C6" s="106"/>
      <c r="D6" s="107">
        <f>SUM(D7:D12)</f>
        <v>3.5</v>
      </c>
      <c r="E6" s="108">
        <v>46236</v>
      </c>
      <c r="F6" s="108">
        <v>46240</v>
      </c>
      <c r="G6" s="109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02"/>
    </row>
    <row r="7" spans="2:98" ht="21.75" customHeight="1" x14ac:dyDescent="0.55000000000000004">
      <c r="B7" s="111" t="s">
        <v>32</v>
      </c>
      <c r="C7" s="112"/>
      <c r="D7" s="113">
        <v>0.5</v>
      </c>
      <c r="E7" s="114">
        <v>46236</v>
      </c>
      <c r="F7" s="114">
        <v>46236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02"/>
    </row>
    <row r="8" spans="2:98" ht="21.75" customHeight="1" x14ac:dyDescent="0.55000000000000004">
      <c r="B8" s="111" t="s">
        <v>33</v>
      </c>
      <c r="C8" s="115"/>
      <c r="D8" s="116">
        <v>1</v>
      </c>
      <c r="E8" s="117">
        <v>46237</v>
      </c>
      <c r="F8" s="117">
        <v>46237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02"/>
    </row>
    <row r="9" spans="2:98" ht="21.75" customHeight="1" x14ac:dyDescent="0.55000000000000004">
      <c r="B9" s="111" t="s">
        <v>34</v>
      </c>
      <c r="C9" s="115"/>
      <c r="D9" s="116">
        <v>1</v>
      </c>
      <c r="E9" s="117">
        <v>46238</v>
      </c>
      <c r="F9" s="117">
        <v>46238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02"/>
    </row>
    <row r="10" spans="2:98" ht="21.75" customHeight="1" x14ac:dyDescent="0.55000000000000004">
      <c r="B10" s="111" t="s">
        <v>35</v>
      </c>
      <c r="C10" s="115"/>
      <c r="D10" s="116">
        <v>1</v>
      </c>
      <c r="E10" s="117">
        <v>46239</v>
      </c>
      <c r="F10" s="117">
        <v>46239</v>
      </c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02"/>
    </row>
    <row r="11" spans="2:98" ht="21.75" customHeight="1" x14ac:dyDescent="0.55000000000000004">
      <c r="B11" s="111" t="s">
        <v>36</v>
      </c>
      <c r="C11" s="115"/>
      <c r="D11" s="116">
        <v>0</v>
      </c>
      <c r="E11" s="117">
        <v>46240</v>
      </c>
      <c r="F11" s="117">
        <v>46240</v>
      </c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02"/>
    </row>
    <row r="12" spans="2:98" ht="21.75" customHeight="1" x14ac:dyDescent="0.55000000000000004">
      <c r="B12" s="111"/>
      <c r="C12" s="118"/>
      <c r="D12" s="119"/>
      <c r="E12" s="120"/>
      <c r="F12" s="12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02"/>
    </row>
    <row r="13" spans="2:98" ht="21.75" customHeight="1" x14ac:dyDescent="0.55000000000000004">
      <c r="B13" s="105" t="s">
        <v>60</v>
      </c>
      <c r="C13" s="106"/>
      <c r="D13" s="107">
        <f>SUM(D14:D22)</f>
        <v>21</v>
      </c>
      <c r="E13" s="108">
        <v>46241</v>
      </c>
      <c r="F13" s="108">
        <v>46260</v>
      </c>
      <c r="G13" s="109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10"/>
      <c r="CT13" s="102"/>
    </row>
    <row r="14" spans="2:98" ht="21.75" customHeight="1" x14ac:dyDescent="0.55000000000000004">
      <c r="B14" s="121" t="s">
        <v>37</v>
      </c>
      <c r="C14" s="112"/>
      <c r="D14" s="113">
        <v>5</v>
      </c>
      <c r="E14" s="114">
        <v>46241</v>
      </c>
      <c r="F14" s="114">
        <v>46245</v>
      </c>
      <c r="G14" s="110"/>
      <c r="H14" s="110"/>
      <c r="I14" s="110"/>
      <c r="J14" s="122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02"/>
    </row>
    <row r="15" spans="2:98" ht="21.75" customHeight="1" x14ac:dyDescent="0.55000000000000004">
      <c r="B15" s="121" t="s">
        <v>38</v>
      </c>
      <c r="C15" s="123"/>
      <c r="D15" s="124">
        <v>7.5</v>
      </c>
      <c r="E15" s="125">
        <v>46246</v>
      </c>
      <c r="F15" s="117">
        <v>46252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02"/>
    </row>
    <row r="16" spans="2:98" ht="21.75" customHeight="1" x14ac:dyDescent="0.55000000000000004">
      <c r="B16" s="121" t="s">
        <v>39</v>
      </c>
      <c r="C16" s="123"/>
      <c r="D16" s="124">
        <v>1</v>
      </c>
      <c r="E16" s="125">
        <v>46253</v>
      </c>
      <c r="F16" s="117">
        <v>46253</v>
      </c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02"/>
    </row>
    <row r="17" spans="2:98" ht="21.75" customHeight="1" x14ac:dyDescent="0.55000000000000004">
      <c r="B17" s="121" t="s">
        <v>40</v>
      </c>
      <c r="C17" s="123"/>
      <c r="D17" s="124">
        <v>4</v>
      </c>
      <c r="E17" s="125">
        <v>46254</v>
      </c>
      <c r="F17" s="117">
        <v>46257</v>
      </c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02"/>
    </row>
    <row r="18" spans="2:98" ht="21.75" customHeight="1" x14ac:dyDescent="0.55000000000000004">
      <c r="B18" s="121" t="s">
        <v>41</v>
      </c>
      <c r="C18" s="123"/>
      <c r="D18" s="124">
        <v>1</v>
      </c>
      <c r="E18" s="125">
        <v>46258</v>
      </c>
      <c r="F18" s="117">
        <v>46258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10"/>
      <c r="CT18" s="102"/>
    </row>
    <row r="19" spans="2:98" ht="22.5" x14ac:dyDescent="0.55000000000000004">
      <c r="B19" s="121" t="s">
        <v>42</v>
      </c>
      <c r="C19" s="123"/>
      <c r="D19" s="124">
        <v>1</v>
      </c>
      <c r="E19" s="125">
        <v>46259</v>
      </c>
      <c r="F19" s="117">
        <v>46259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02"/>
    </row>
    <row r="20" spans="2:98" ht="22.5" x14ac:dyDescent="0.55000000000000004">
      <c r="B20" s="121" t="s">
        <v>43</v>
      </c>
      <c r="C20" s="123"/>
      <c r="D20" s="124">
        <v>0.5</v>
      </c>
      <c r="E20" s="125">
        <v>46260</v>
      </c>
      <c r="F20" s="117">
        <v>46260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02"/>
    </row>
    <row r="21" spans="2:98" ht="22.5" x14ac:dyDescent="0.55000000000000004">
      <c r="B21" s="121" t="s">
        <v>35</v>
      </c>
      <c r="C21" s="123"/>
      <c r="D21" s="124">
        <v>1</v>
      </c>
      <c r="E21" s="125">
        <v>46260</v>
      </c>
      <c r="F21" s="117">
        <v>46260</v>
      </c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02"/>
    </row>
    <row r="22" spans="2:98" ht="22.5" x14ac:dyDescent="0.55000000000000004">
      <c r="B22" s="121" t="s">
        <v>44</v>
      </c>
      <c r="C22" s="123"/>
      <c r="D22" s="124">
        <v>0</v>
      </c>
      <c r="E22" s="125">
        <v>46260</v>
      </c>
      <c r="F22" s="117">
        <v>46260</v>
      </c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02"/>
    </row>
    <row r="23" spans="2:98" ht="22.5" x14ac:dyDescent="0.55000000000000004">
      <c r="B23" s="121"/>
      <c r="C23" s="123"/>
      <c r="D23" s="124"/>
      <c r="E23" s="125"/>
      <c r="F23" s="117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10"/>
      <c r="CT23" s="102"/>
    </row>
    <row r="24" spans="2:98" ht="22.5" x14ac:dyDescent="0.55000000000000004">
      <c r="B24" s="121"/>
      <c r="C24" s="123"/>
      <c r="D24" s="124"/>
      <c r="E24" s="125"/>
      <c r="F24" s="117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0"/>
      <c r="CP24" s="110"/>
      <c r="CQ24" s="110"/>
      <c r="CR24" s="110"/>
      <c r="CS24" s="110"/>
      <c r="CT24" s="102"/>
    </row>
    <row r="25" spans="2:98" ht="22.5" x14ac:dyDescent="0.55000000000000004">
      <c r="B25" s="121"/>
      <c r="C25" s="123"/>
      <c r="D25" s="124"/>
      <c r="E25" s="125"/>
      <c r="F25" s="117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10"/>
      <c r="CT25" s="102"/>
    </row>
    <row r="26" spans="2:98" ht="22.5" x14ac:dyDescent="0.55000000000000004">
      <c r="B26" s="121"/>
      <c r="C26" s="123"/>
      <c r="D26" s="124"/>
      <c r="E26" s="125"/>
      <c r="F26" s="117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  <c r="CP26" s="110"/>
      <c r="CQ26" s="110"/>
      <c r="CR26" s="110"/>
      <c r="CS26" s="110"/>
      <c r="CT26" s="102"/>
    </row>
    <row r="27" spans="2:98" ht="22.5" x14ac:dyDescent="0.55000000000000004">
      <c r="B27" s="121"/>
      <c r="C27" s="123"/>
      <c r="D27" s="124"/>
      <c r="E27" s="125"/>
      <c r="F27" s="117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02"/>
    </row>
    <row r="28" spans="2:98" ht="22.5" x14ac:dyDescent="0.55000000000000004">
      <c r="B28" s="121"/>
      <c r="C28" s="123"/>
      <c r="D28" s="124"/>
      <c r="E28" s="125"/>
      <c r="F28" s="117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0"/>
      <c r="CP28" s="110"/>
      <c r="CQ28" s="110"/>
      <c r="CR28" s="110"/>
      <c r="CS28" s="110"/>
      <c r="CT28" s="102"/>
    </row>
    <row r="29" spans="2:98" ht="22.5" x14ac:dyDescent="0.55000000000000004">
      <c r="B29" s="121"/>
      <c r="C29" s="123"/>
      <c r="D29" s="124"/>
      <c r="E29" s="125"/>
      <c r="F29" s="117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0"/>
      <c r="CP29" s="110"/>
      <c r="CQ29" s="110"/>
      <c r="CR29" s="110"/>
      <c r="CS29" s="110"/>
      <c r="CT29" s="102"/>
    </row>
    <row r="30" spans="2:98" ht="22.5" x14ac:dyDescent="0.55000000000000004">
      <c r="B30" s="126"/>
      <c r="C30" s="102"/>
      <c r="D30" s="102"/>
      <c r="E30" s="102"/>
      <c r="F30" s="102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</row>
    <row r="31" spans="2:98" ht="22.5" x14ac:dyDescent="0.55000000000000004">
      <c r="B31" s="126"/>
      <c r="C31" s="102"/>
      <c r="D31" s="102"/>
      <c r="E31" s="102"/>
      <c r="F31" s="102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</row>
    <row r="32" spans="2:98" ht="22.5" x14ac:dyDescent="0.55000000000000004">
      <c r="B32" s="126"/>
      <c r="C32" s="102"/>
      <c r="D32" s="102"/>
      <c r="E32" s="102"/>
      <c r="F32" s="102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</row>
    <row r="33" spans="2:98" ht="22.5" x14ac:dyDescent="0.55000000000000004">
      <c r="B33" s="126"/>
      <c r="C33" s="102"/>
      <c r="D33" s="102"/>
      <c r="E33" s="102"/>
      <c r="F33" s="102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</row>
  </sheetData>
  <mergeCells count="19">
    <mergeCell ref="CM4:CS4"/>
    <mergeCell ref="AW4:BC4"/>
    <mergeCell ref="BD4:BJ4"/>
    <mergeCell ref="BK4:BQ4"/>
    <mergeCell ref="BR4:BX4"/>
    <mergeCell ref="BY4:CE4"/>
    <mergeCell ref="CF4:CL4"/>
    <mergeCell ref="AP4:AV4"/>
    <mergeCell ref="B1:D2"/>
    <mergeCell ref="B4:B5"/>
    <mergeCell ref="C4:C5"/>
    <mergeCell ref="D4:D5"/>
    <mergeCell ref="E4:E5"/>
    <mergeCell ref="F4:F5"/>
    <mergeCell ref="G4:M4"/>
    <mergeCell ref="N4:T4"/>
    <mergeCell ref="U4:AA4"/>
    <mergeCell ref="AB4:AH4"/>
    <mergeCell ref="AI4:AO4"/>
  </mergeCells>
  <phoneticPr fontId="1"/>
  <conditionalFormatting sqref="G6:CS41">
    <cfRule type="expression" dxfId="0" priority="1">
      <formula>AND($E6&lt;=G$5,$F6&gt;=G$5,$F6&lt;&gt;"")</formula>
    </cfRule>
  </conditionalFormatting>
  <dataValidations count="1">
    <dataValidation allowBlank="1" showInputMessage="1" showErrorMessage="1" prompt="完了日は、工数と開始日を入力すると自動的に計算されます。" sqref="F4:F5" xr:uid="{D184E1DE-0965-414E-A881-8C13EEEC5FF9}"/>
  </dataValidations>
  <pageMargins left="0.25" right="0.25" top="0.75" bottom="0.75" header="0.3" footer="0.3"/>
  <pageSetup paperSize="9" scale="71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56FA-0328-4FE7-B957-7159BD224610}">
  <dimension ref="A1:D18"/>
  <sheetViews>
    <sheetView zoomScale="104" workbookViewId="0">
      <selection activeCell="C3" sqref="C3"/>
    </sheetView>
  </sheetViews>
  <sheetFormatPr defaultRowHeight="18" x14ac:dyDescent="0.55000000000000004"/>
  <cols>
    <col min="1" max="1" width="52.4140625" bestFit="1" customWidth="1"/>
    <col min="2" max="3" width="10" style="2" bestFit="1" customWidth="1"/>
    <col min="4" max="4" width="8.25" bestFit="1" customWidth="1"/>
  </cols>
  <sheetData>
    <row r="1" spans="1:4" x14ac:dyDescent="0.55000000000000004">
      <c r="A1" s="1" t="s">
        <v>45</v>
      </c>
      <c r="B1" s="6" t="s">
        <v>46</v>
      </c>
      <c r="C1" s="6" t="s">
        <v>47</v>
      </c>
      <c r="D1" s="1" t="s">
        <v>48</v>
      </c>
    </row>
    <row r="2" spans="1:4" x14ac:dyDescent="0.55000000000000004">
      <c r="A2" s="5" t="s">
        <v>49</v>
      </c>
      <c r="B2" s="3">
        <v>46236</v>
      </c>
      <c r="C2" s="3">
        <v>46332</v>
      </c>
      <c r="D2" s="4">
        <v>95.75</v>
      </c>
    </row>
    <row r="3" spans="1:4" x14ac:dyDescent="0.55000000000000004">
      <c r="A3" s="5" t="s">
        <v>50</v>
      </c>
      <c r="B3" s="3">
        <v>46236</v>
      </c>
      <c r="C3" s="3">
        <v>46240</v>
      </c>
      <c r="D3" s="4">
        <v>3.5</v>
      </c>
    </row>
    <row r="4" spans="1:4" x14ac:dyDescent="0.55000000000000004">
      <c r="A4" s="5" t="s">
        <v>32</v>
      </c>
      <c r="B4" s="3">
        <v>46236</v>
      </c>
      <c r="C4" s="3">
        <v>46236</v>
      </c>
      <c r="D4" s="4">
        <v>0.5</v>
      </c>
    </row>
    <row r="5" spans="1:4" x14ac:dyDescent="0.55000000000000004">
      <c r="A5" s="5" t="s">
        <v>33</v>
      </c>
      <c r="B5" s="3">
        <v>46237</v>
      </c>
      <c r="C5" s="3">
        <v>46237</v>
      </c>
      <c r="D5" s="4">
        <v>1</v>
      </c>
    </row>
    <row r="6" spans="1:4" x14ac:dyDescent="0.55000000000000004">
      <c r="A6" s="5" t="s">
        <v>34</v>
      </c>
      <c r="B6" s="3">
        <v>46238</v>
      </c>
      <c r="C6" s="3">
        <v>46238</v>
      </c>
      <c r="D6" s="4">
        <v>1</v>
      </c>
    </row>
    <row r="7" spans="1:4" x14ac:dyDescent="0.55000000000000004">
      <c r="A7" s="5" t="s">
        <v>35</v>
      </c>
      <c r="B7" s="3">
        <v>46239</v>
      </c>
      <c r="C7" s="3">
        <v>46239</v>
      </c>
      <c r="D7" s="4">
        <v>1</v>
      </c>
    </row>
    <row r="8" spans="1:4" x14ac:dyDescent="0.55000000000000004">
      <c r="A8" s="5" t="s">
        <v>36</v>
      </c>
      <c r="B8" s="3">
        <v>46240</v>
      </c>
      <c r="C8" s="3">
        <v>46240</v>
      </c>
      <c r="D8" s="4">
        <v>0</v>
      </c>
    </row>
    <row r="9" spans="1:4" x14ac:dyDescent="0.55000000000000004">
      <c r="A9" s="5" t="s">
        <v>51</v>
      </c>
      <c r="B9" s="3">
        <v>46241</v>
      </c>
      <c r="C9" s="3">
        <v>46260</v>
      </c>
      <c r="D9" s="4">
        <v>14</v>
      </c>
    </row>
    <row r="10" spans="1:4" x14ac:dyDescent="0.55000000000000004">
      <c r="A10" s="5" t="s">
        <v>37</v>
      </c>
      <c r="B10" s="3">
        <v>46241</v>
      </c>
      <c r="C10" s="3">
        <v>46245</v>
      </c>
      <c r="D10" s="4">
        <v>5</v>
      </c>
    </row>
    <row r="11" spans="1:4" x14ac:dyDescent="0.55000000000000004">
      <c r="A11" s="5" t="s">
        <v>38</v>
      </c>
      <c r="B11" s="3">
        <v>46246</v>
      </c>
      <c r="C11" s="3">
        <v>46252</v>
      </c>
      <c r="D11" s="4">
        <v>7.5</v>
      </c>
    </row>
    <row r="12" spans="1:4" x14ac:dyDescent="0.55000000000000004">
      <c r="A12" s="5" t="s">
        <v>39</v>
      </c>
      <c r="B12" s="3">
        <v>46253</v>
      </c>
      <c r="C12" s="3">
        <v>46253</v>
      </c>
      <c r="D12" s="4">
        <v>1</v>
      </c>
    </row>
    <row r="13" spans="1:4" x14ac:dyDescent="0.55000000000000004">
      <c r="A13" s="5" t="s">
        <v>40</v>
      </c>
      <c r="B13" s="3">
        <v>46254</v>
      </c>
      <c r="C13" s="3">
        <v>46257</v>
      </c>
      <c r="D13" s="4">
        <v>4</v>
      </c>
    </row>
    <row r="14" spans="1:4" x14ac:dyDescent="0.55000000000000004">
      <c r="A14" s="5" t="s">
        <v>41</v>
      </c>
      <c r="B14" s="3">
        <v>46258</v>
      </c>
      <c r="C14" s="3">
        <v>46258</v>
      </c>
      <c r="D14" s="4">
        <v>1</v>
      </c>
    </row>
    <row r="15" spans="1:4" x14ac:dyDescent="0.55000000000000004">
      <c r="A15" s="5" t="s">
        <v>42</v>
      </c>
      <c r="B15" s="3">
        <v>46259</v>
      </c>
      <c r="C15" s="3">
        <v>46259</v>
      </c>
      <c r="D15" s="4">
        <v>1</v>
      </c>
    </row>
    <row r="16" spans="1:4" x14ac:dyDescent="0.55000000000000004">
      <c r="A16" s="5" t="s">
        <v>43</v>
      </c>
      <c r="B16" s="3">
        <v>46260</v>
      </c>
      <c r="C16" s="3">
        <v>46260</v>
      </c>
      <c r="D16" s="4">
        <v>0.5</v>
      </c>
    </row>
    <row r="17" spans="1:4" x14ac:dyDescent="0.55000000000000004">
      <c r="A17" s="5" t="s">
        <v>35</v>
      </c>
      <c r="B17" s="3">
        <v>46260</v>
      </c>
      <c r="C17" s="3">
        <v>46260</v>
      </c>
      <c r="D17" s="4">
        <v>1</v>
      </c>
    </row>
    <row r="18" spans="1:4" x14ac:dyDescent="0.55000000000000004">
      <c r="A18" s="5" t="s">
        <v>44</v>
      </c>
      <c r="B18" s="3">
        <v>46260</v>
      </c>
      <c r="C18" s="3">
        <v>46260</v>
      </c>
      <c r="D18" s="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8_図解</vt:lpstr>
      <vt:lpstr>8_1図解</vt:lpstr>
      <vt:lpstr>3.5_6.3図解</vt:lpstr>
      <vt:lpstr>3.6_5図解</vt:lpstr>
      <vt:lpstr>3.5_6図解</vt:lpstr>
      <vt:lpstr>Sheet3</vt:lpstr>
      <vt:lpstr>'3.5_6図解'!Print_Area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麻衣子 高橋</dc:creator>
  <cp:lastModifiedBy>麻衣子 高橋</cp:lastModifiedBy>
  <dcterms:created xsi:type="dcterms:W3CDTF">2026-07-09T02:38:57Z</dcterms:created>
  <dcterms:modified xsi:type="dcterms:W3CDTF">2026-07-13T08:00:21Z</dcterms:modified>
</cp:coreProperties>
</file>