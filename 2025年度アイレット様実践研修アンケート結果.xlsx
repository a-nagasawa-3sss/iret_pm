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shi\Downloads\"/>
    </mc:Choice>
  </mc:AlternateContent>
  <xr:revisionPtr revIDLastSave="0" documentId="13_ncr:1_{292ED320-E7D5-45D4-B2B9-AE4D91475DDF}" xr6:coauthVersionLast="47" xr6:coauthVersionMax="47" xr10:uidLastSave="{00000000-0000-0000-0000-000000000000}"/>
  <bookViews>
    <workbookView xWindow="28680" yWindow="-120" windowWidth="29040" windowHeight="15720" xr2:uid="{00000000-000D-0000-FFFF-FFFF00000000}"/>
  </bookViews>
  <sheets>
    <sheet name="アンケート結果" sheetId="1" r:id="rId1"/>
    <sheet name="ピボット テーブル" sheetId="2" r:id="rId2"/>
    <sheet name="アンケート集計" sheetId="3" r:id="rId3"/>
    <sheet name="中間データ" sheetId="4" r:id="rId4"/>
    <sheet name="2025年度第1期_アンケート集計" sheetId="5" r:id="rId5"/>
    <sheet name="2025年度第2期_アンケート集計" sheetId="6" r:id="rId6"/>
    <sheet name="2025年度第3期_アンケート集計" sheetId="7" r:id="rId7"/>
  </sheets>
  <definedNames>
    <definedName name="_xlnm._FilterDatabase" localSheetId="4" hidden="1">'2025年度第1期_アンケート集計'!$A$2:$G$4</definedName>
    <definedName name="_xlnm._FilterDatabase" localSheetId="5" hidden="1">'2025年度第2期_アンケート集計'!$A$2:$G$4</definedName>
    <definedName name="_xlnm._FilterDatabase" localSheetId="6" hidden="1">'2025年度第3期_アンケート集計'!$A$2:$G$4</definedName>
    <definedName name="_xlnm._FilterDatabase" localSheetId="0" hidden="1">アンケート結果!$A$1:$P$137</definedName>
    <definedName name="_xlnm._FilterDatabase" localSheetId="2" hidden="1">アンケート集計!$A$2:$G$4</definedName>
  </definedNames>
  <calcPr calcId="191029"/>
  <pivotCaches>
    <pivotCache cacheId="17"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00" i="4" l="1"/>
  <c r="P999" i="4"/>
  <c r="P998" i="4"/>
  <c r="P997" i="4"/>
  <c r="P996" i="4"/>
  <c r="P995" i="4"/>
  <c r="P994" i="4"/>
  <c r="P993" i="4"/>
  <c r="P992" i="4"/>
  <c r="P991" i="4"/>
  <c r="P990" i="4"/>
  <c r="P989" i="4"/>
  <c r="P988" i="4"/>
  <c r="P987" i="4"/>
  <c r="P986" i="4"/>
  <c r="P985" i="4"/>
  <c r="P984" i="4"/>
  <c r="P983" i="4"/>
  <c r="P982" i="4"/>
  <c r="P981" i="4"/>
  <c r="P980" i="4"/>
  <c r="P979" i="4"/>
  <c r="P978" i="4"/>
  <c r="P977" i="4"/>
  <c r="P976" i="4"/>
  <c r="P975" i="4"/>
  <c r="P974" i="4"/>
  <c r="P973" i="4"/>
  <c r="P972" i="4"/>
  <c r="P971" i="4"/>
  <c r="P970" i="4"/>
  <c r="P969" i="4"/>
  <c r="P968" i="4"/>
  <c r="P967" i="4"/>
  <c r="P966" i="4"/>
  <c r="P965" i="4"/>
  <c r="P964" i="4"/>
  <c r="P963" i="4"/>
  <c r="P962" i="4"/>
  <c r="P961" i="4"/>
  <c r="P960" i="4"/>
  <c r="P959" i="4"/>
  <c r="P958" i="4"/>
  <c r="P957" i="4"/>
  <c r="P956" i="4"/>
  <c r="P955" i="4"/>
  <c r="P954" i="4"/>
  <c r="P953" i="4"/>
  <c r="P952" i="4"/>
  <c r="P951" i="4"/>
  <c r="P950" i="4"/>
  <c r="P949" i="4"/>
  <c r="P948" i="4"/>
  <c r="P947" i="4"/>
  <c r="P946" i="4"/>
  <c r="P945" i="4"/>
  <c r="P944" i="4"/>
  <c r="P943" i="4"/>
  <c r="P942" i="4"/>
  <c r="P941" i="4"/>
  <c r="P940" i="4"/>
  <c r="P939" i="4"/>
  <c r="P938" i="4"/>
  <c r="P937" i="4"/>
  <c r="P936" i="4"/>
  <c r="P935" i="4"/>
  <c r="P934" i="4"/>
  <c r="P933" i="4"/>
  <c r="P932" i="4"/>
  <c r="P931" i="4"/>
  <c r="P930" i="4"/>
  <c r="P929" i="4"/>
  <c r="P928" i="4"/>
  <c r="P927" i="4"/>
  <c r="P926" i="4"/>
  <c r="P925" i="4"/>
  <c r="P924" i="4"/>
  <c r="P923" i="4"/>
  <c r="P922" i="4"/>
  <c r="P921" i="4"/>
  <c r="P920" i="4"/>
  <c r="P919" i="4"/>
  <c r="P918" i="4"/>
  <c r="P917" i="4"/>
  <c r="P916" i="4"/>
  <c r="P915" i="4"/>
  <c r="P914" i="4"/>
  <c r="P913" i="4"/>
  <c r="P912" i="4"/>
  <c r="P911" i="4"/>
  <c r="P910" i="4"/>
  <c r="P909" i="4"/>
  <c r="P908" i="4"/>
  <c r="P907" i="4"/>
  <c r="P906" i="4"/>
  <c r="P905" i="4"/>
  <c r="P904" i="4"/>
  <c r="P903" i="4"/>
  <c r="P902" i="4"/>
  <c r="P901" i="4"/>
  <c r="P900" i="4"/>
  <c r="P899" i="4"/>
  <c r="P898" i="4"/>
  <c r="P897" i="4"/>
  <c r="P896" i="4"/>
  <c r="P895" i="4"/>
  <c r="P894" i="4"/>
  <c r="P893" i="4"/>
  <c r="P892" i="4"/>
  <c r="P891" i="4"/>
  <c r="P890" i="4"/>
  <c r="P889" i="4"/>
  <c r="P888" i="4"/>
  <c r="P887" i="4"/>
  <c r="P886" i="4"/>
  <c r="P885" i="4"/>
  <c r="P884" i="4"/>
  <c r="P883" i="4"/>
  <c r="P882" i="4"/>
  <c r="P881" i="4"/>
  <c r="P880" i="4"/>
  <c r="P879" i="4"/>
  <c r="P878" i="4"/>
  <c r="P877" i="4"/>
  <c r="P876" i="4"/>
  <c r="P875" i="4"/>
  <c r="P874" i="4"/>
  <c r="P873" i="4"/>
  <c r="P872" i="4"/>
  <c r="P871" i="4"/>
  <c r="P870" i="4"/>
  <c r="P869" i="4"/>
  <c r="P868" i="4"/>
  <c r="P867" i="4"/>
  <c r="P866" i="4"/>
  <c r="P865" i="4"/>
  <c r="P864" i="4"/>
  <c r="P863" i="4"/>
  <c r="P862" i="4"/>
  <c r="P861" i="4"/>
  <c r="P860" i="4"/>
  <c r="P859" i="4"/>
  <c r="P858" i="4"/>
  <c r="P857" i="4"/>
  <c r="P856" i="4"/>
  <c r="P855" i="4"/>
  <c r="P854" i="4"/>
  <c r="P853" i="4"/>
  <c r="P852" i="4"/>
  <c r="P851" i="4"/>
  <c r="P850" i="4"/>
  <c r="P849" i="4"/>
  <c r="P848" i="4"/>
  <c r="P847" i="4"/>
  <c r="P846" i="4"/>
  <c r="P845" i="4"/>
  <c r="P844" i="4"/>
  <c r="P843" i="4"/>
  <c r="P842" i="4"/>
  <c r="P841" i="4"/>
  <c r="P840" i="4"/>
  <c r="P839" i="4"/>
  <c r="P838" i="4"/>
  <c r="P837" i="4"/>
  <c r="P836" i="4"/>
  <c r="P835" i="4"/>
  <c r="P834" i="4"/>
  <c r="P833" i="4"/>
  <c r="P832" i="4"/>
  <c r="P831" i="4"/>
  <c r="P830" i="4"/>
  <c r="P829" i="4"/>
  <c r="P828" i="4"/>
  <c r="P827" i="4"/>
  <c r="P826" i="4"/>
  <c r="P825" i="4"/>
  <c r="P824" i="4"/>
  <c r="P823" i="4"/>
  <c r="P822" i="4"/>
  <c r="P821" i="4"/>
  <c r="P820" i="4"/>
  <c r="P819" i="4"/>
  <c r="P818" i="4"/>
  <c r="P817" i="4"/>
  <c r="P816" i="4"/>
  <c r="P815" i="4"/>
  <c r="P814" i="4"/>
  <c r="P813" i="4"/>
  <c r="P812" i="4"/>
  <c r="P811" i="4"/>
  <c r="P810" i="4"/>
  <c r="P809" i="4"/>
  <c r="P808" i="4"/>
  <c r="P807" i="4"/>
  <c r="P806" i="4"/>
  <c r="P805" i="4"/>
  <c r="P804" i="4"/>
  <c r="P803" i="4"/>
  <c r="P802" i="4"/>
  <c r="P801" i="4"/>
  <c r="P800" i="4"/>
  <c r="P799" i="4"/>
  <c r="P798" i="4"/>
  <c r="P797" i="4"/>
  <c r="P796" i="4"/>
  <c r="P795" i="4"/>
  <c r="P794" i="4"/>
  <c r="P793" i="4"/>
  <c r="P792" i="4"/>
  <c r="P791" i="4"/>
  <c r="P790" i="4"/>
  <c r="P789" i="4"/>
  <c r="P788" i="4"/>
  <c r="P787" i="4"/>
  <c r="P786" i="4"/>
  <c r="P785" i="4"/>
  <c r="P784" i="4"/>
  <c r="P783" i="4"/>
  <c r="P782" i="4"/>
  <c r="P781" i="4"/>
  <c r="P780" i="4"/>
  <c r="P779" i="4"/>
  <c r="P778" i="4"/>
  <c r="P777" i="4"/>
  <c r="P776" i="4"/>
  <c r="P775" i="4"/>
  <c r="P774" i="4"/>
  <c r="P773" i="4"/>
  <c r="P772" i="4"/>
  <c r="P771" i="4"/>
  <c r="P770" i="4"/>
  <c r="P769" i="4"/>
  <c r="P768" i="4"/>
  <c r="P767" i="4"/>
  <c r="P766" i="4"/>
  <c r="P765" i="4"/>
  <c r="P764" i="4"/>
  <c r="P763" i="4"/>
  <c r="P762" i="4"/>
  <c r="P761" i="4"/>
  <c r="P760" i="4"/>
  <c r="P759" i="4"/>
  <c r="P758" i="4"/>
  <c r="P757" i="4"/>
  <c r="P756" i="4"/>
  <c r="P755" i="4"/>
  <c r="P754" i="4"/>
  <c r="P753" i="4"/>
  <c r="P752" i="4"/>
  <c r="P751" i="4"/>
  <c r="P750" i="4"/>
  <c r="P749" i="4"/>
  <c r="P748" i="4"/>
  <c r="P747" i="4"/>
  <c r="P746" i="4"/>
  <c r="P745" i="4"/>
  <c r="P744" i="4"/>
  <c r="P743" i="4"/>
  <c r="P742" i="4"/>
  <c r="P741" i="4"/>
  <c r="P740" i="4"/>
  <c r="P739" i="4"/>
  <c r="P738" i="4"/>
  <c r="P737" i="4"/>
  <c r="P736" i="4"/>
  <c r="P735" i="4"/>
  <c r="P734" i="4"/>
  <c r="P733" i="4"/>
  <c r="P732" i="4"/>
  <c r="P731" i="4"/>
  <c r="P730" i="4"/>
  <c r="P729" i="4"/>
  <c r="P728" i="4"/>
  <c r="P727" i="4"/>
  <c r="P726" i="4"/>
  <c r="P725" i="4"/>
  <c r="P724" i="4"/>
  <c r="P723" i="4"/>
  <c r="P722" i="4"/>
  <c r="P721" i="4"/>
  <c r="P720" i="4"/>
  <c r="P719" i="4"/>
  <c r="P718" i="4"/>
  <c r="P717" i="4"/>
  <c r="P716" i="4"/>
  <c r="P715" i="4"/>
  <c r="P714" i="4"/>
  <c r="P713" i="4"/>
  <c r="P712" i="4"/>
  <c r="P711" i="4"/>
  <c r="P710" i="4"/>
  <c r="P709" i="4"/>
  <c r="P708" i="4"/>
  <c r="P707" i="4"/>
  <c r="P706" i="4"/>
  <c r="P705" i="4"/>
  <c r="P704" i="4"/>
  <c r="P703" i="4"/>
  <c r="P702" i="4"/>
  <c r="P701" i="4"/>
  <c r="P700" i="4"/>
  <c r="P699" i="4"/>
  <c r="P698" i="4"/>
  <c r="P697" i="4"/>
  <c r="P696" i="4"/>
  <c r="P695" i="4"/>
  <c r="P694" i="4"/>
  <c r="P693" i="4"/>
  <c r="P692" i="4"/>
  <c r="P691" i="4"/>
  <c r="P690" i="4"/>
  <c r="P689" i="4"/>
  <c r="P688" i="4"/>
  <c r="P687" i="4"/>
  <c r="P686" i="4"/>
  <c r="P685" i="4"/>
  <c r="P684" i="4"/>
  <c r="P683" i="4"/>
  <c r="P682" i="4"/>
  <c r="P681" i="4"/>
  <c r="P680" i="4"/>
  <c r="P679" i="4"/>
  <c r="P678" i="4"/>
  <c r="P677" i="4"/>
  <c r="P676" i="4"/>
  <c r="P675" i="4"/>
  <c r="P674" i="4"/>
  <c r="P673" i="4"/>
  <c r="P672" i="4"/>
  <c r="P671" i="4"/>
  <c r="P670" i="4"/>
  <c r="P669" i="4"/>
  <c r="P668" i="4"/>
  <c r="P667" i="4"/>
  <c r="P666" i="4"/>
  <c r="P665" i="4"/>
  <c r="P664" i="4"/>
  <c r="P663" i="4"/>
  <c r="P662" i="4"/>
  <c r="P661" i="4"/>
  <c r="P660" i="4"/>
  <c r="P659" i="4"/>
  <c r="P658" i="4"/>
  <c r="P657" i="4"/>
  <c r="P656" i="4"/>
  <c r="P655" i="4"/>
  <c r="P654" i="4"/>
  <c r="P653" i="4"/>
  <c r="P652" i="4"/>
  <c r="P651" i="4"/>
  <c r="P650" i="4"/>
  <c r="P649" i="4"/>
  <c r="P648" i="4"/>
  <c r="P647" i="4"/>
  <c r="P646" i="4"/>
  <c r="P645" i="4"/>
  <c r="P644" i="4"/>
  <c r="P643" i="4"/>
  <c r="P642" i="4"/>
  <c r="P641" i="4"/>
  <c r="P640" i="4"/>
  <c r="P639" i="4"/>
  <c r="P638" i="4"/>
  <c r="P637" i="4"/>
  <c r="P636" i="4"/>
  <c r="P635" i="4"/>
  <c r="P634" i="4"/>
  <c r="P633" i="4"/>
  <c r="P632" i="4"/>
  <c r="P631" i="4"/>
  <c r="P630" i="4"/>
  <c r="P629" i="4"/>
  <c r="P628" i="4"/>
  <c r="P627" i="4"/>
  <c r="P626" i="4"/>
  <c r="P625" i="4"/>
  <c r="P624" i="4"/>
  <c r="P623" i="4"/>
  <c r="P622" i="4"/>
  <c r="P621" i="4"/>
  <c r="P620" i="4"/>
  <c r="P619" i="4"/>
  <c r="P618" i="4"/>
  <c r="P617" i="4"/>
  <c r="P616" i="4"/>
  <c r="P615" i="4"/>
  <c r="P614" i="4"/>
  <c r="P613" i="4"/>
  <c r="P612" i="4"/>
  <c r="P611" i="4"/>
  <c r="P610" i="4"/>
  <c r="P609" i="4"/>
  <c r="P608" i="4"/>
  <c r="P607" i="4"/>
  <c r="P606" i="4"/>
  <c r="P605" i="4"/>
  <c r="P604" i="4"/>
  <c r="P603" i="4"/>
  <c r="P602" i="4"/>
  <c r="P601" i="4"/>
  <c r="P600" i="4"/>
  <c r="P599" i="4"/>
  <c r="P598" i="4"/>
  <c r="P597" i="4"/>
  <c r="P596" i="4"/>
  <c r="P595" i="4"/>
  <c r="P594" i="4"/>
  <c r="P593" i="4"/>
  <c r="P592" i="4"/>
  <c r="P591" i="4"/>
  <c r="P590" i="4"/>
  <c r="P589" i="4"/>
  <c r="P588" i="4"/>
  <c r="P587" i="4"/>
  <c r="P586" i="4"/>
  <c r="P585" i="4"/>
  <c r="P584" i="4"/>
  <c r="P583" i="4"/>
  <c r="P582" i="4"/>
  <c r="P581" i="4"/>
  <c r="P580" i="4"/>
  <c r="P579" i="4"/>
  <c r="P578" i="4"/>
  <c r="P577" i="4"/>
  <c r="P576" i="4"/>
  <c r="P575" i="4"/>
  <c r="P574" i="4"/>
  <c r="P573" i="4"/>
  <c r="P572" i="4"/>
  <c r="P571" i="4"/>
  <c r="P570" i="4"/>
  <c r="P569" i="4"/>
  <c r="P568" i="4"/>
  <c r="P567" i="4"/>
  <c r="P566" i="4"/>
  <c r="P565" i="4"/>
  <c r="P564" i="4"/>
  <c r="P563" i="4"/>
  <c r="P562" i="4"/>
  <c r="P561" i="4"/>
  <c r="P560" i="4"/>
  <c r="P559" i="4"/>
  <c r="P558" i="4"/>
  <c r="P557" i="4"/>
  <c r="P556" i="4"/>
  <c r="P555" i="4"/>
  <c r="P554" i="4"/>
  <c r="P553" i="4"/>
  <c r="P552" i="4"/>
  <c r="P551" i="4"/>
  <c r="P550" i="4"/>
  <c r="P549" i="4"/>
  <c r="P548" i="4"/>
  <c r="P547" i="4"/>
  <c r="P546" i="4"/>
  <c r="P545" i="4"/>
  <c r="P544" i="4"/>
  <c r="P543" i="4"/>
  <c r="P542" i="4"/>
  <c r="P541" i="4"/>
  <c r="P540" i="4"/>
  <c r="P539" i="4"/>
  <c r="P538" i="4"/>
  <c r="P537" i="4"/>
  <c r="P536" i="4"/>
  <c r="P535" i="4"/>
  <c r="P534" i="4"/>
  <c r="P533" i="4"/>
  <c r="P532" i="4"/>
  <c r="P531" i="4"/>
  <c r="P530" i="4"/>
  <c r="P529" i="4"/>
  <c r="P528" i="4"/>
  <c r="P527" i="4"/>
  <c r="P526" i="4"/>
  <c r="P525" i="4"/>
  <c r="P524" i="4"/>
  <c r="P523" i="4"/>
  <c r="P522" i="4"/>
  <c r="P521" i="4"/>
  <c r="P520" i="4"/>
  <c r="P519" i="4"/>
  <c r="P518" i="4"/>
  <c r="P517" i="4"/>
  <c r="P516" i="4"/>
  <c r="P515" i="4"/>
  <c r="P514" i="4"/>
  <c r="P513" i="4"/>
  <c r="P512" i="4"/>
  <c r="P511" i="4"/>
  <c r="P510" i="4"/>
  <c r="P509" i="4"/>
  <c r="P508" i="4"/>
  <c r="P507" i="4"/>
  <c r="P506" i="4"/>
  <c r="P505" i="4"/>
  <c r="P504" i="4"/>
  <c r="P503" i="4"/>
  <c r="P502" i="4"/>
  <c r="P501" i="4"/>
  <c r="P500" i="4"/>
  <c r="P499" i="4"/>
  <c r="P498" i="4"/>
  <c r="P497" i="4"/>
  <c r="P496" i="4"/>
  <c r="P495" i="4"/>
  <c r="P494" i="4"/>
  <c r="P493" i="4"/>
  <c r="P492" i="4"/>
  <c r="P491" i="4"/>
  <c r="P490" i="4"/>
  <c r="P489" i="4"/>
  <c r="P488" i="4"/>
  <c r="P487" i="4"/>
  <c r="P486" i="4"/>
  <c r="P485" i="4"/>
  <c r="P484" i="4"/>
  <c r="P483" i="4"/>
  <c r="P482" i="4"/>
  <c r="P481" i="4"/>
  <c r="P480" i="4"/>
  <c r="P479" i="4"/>
  <c r="P478" i="4"/>
  <c r="P477" i="4"/>
  <c r="P476" i="4"/>
  <c r="P475" i="4"/>
  <c r="P474" i="4"/>
  <c r="P473" i="4"/>
  <c r="P472" i="4"/>
  <c r="P471" i="4"/>
  <c r="P470" i="4"/>
  <c r="P469" i="4"/>
  <c r="P468" i="4"/>
  <c r="P467" i="4"/>
  <c r="P466" i="4"/>
  <c r="P465" i="4"/>
  <c r="P464" i="4"/>
  <c r="P463" i="4"/>
  <c r="P462" i="4"/>
  <c r="P461" i="4"/>
  <c r="P460" i="4"/>
  <c r="P459" i="4"/>
  <c r="P458" i="4"/>
  <c r="P457" i="4"/>
  <c r="P456" i="4"/>
  <c r="P455" i="4"/>
  <c r="P454" i="4"/>
  <c r="P453" i="4"/>
  <c r="P452" i="4"/>
  <c r="P451" i="4"/>
  <c r="P450" i="4"/>
  <c r="P449" i="4"/>
  <c r="P448" i="4"/>
  <c r="P447" i="4"/>
  <c r="P446" i="4"/>
  <c r="P445" i="4"/>
  <c r="P444" i="4"/>
  <c r="P443" i="4"/>
  <c r="P442" i="4"/>
  <c r="P441" i="4"/>
  <c r="P440" i="4"/>
  <c r="P439" i="4"/>
  <c r="P438" i="4"/>
  <c r="P437" i="4"/>
  <c r="P436" i="4"/>
  <c r="P435" i="4"/>
  <c r="P434" i="4"/>
  <c r="P433" i="4"/>
  <c r="P432" i="4"/>
  <c r="P431" i="4"/>
  <c r="P430" i="4"/>
  <c r="P429" i="4"/>
  <c r="P428" i="4"/>
  <c r="P427" i="4"/>
  <c r="P426" i="4"/>
  <c r="P425" i="4"/>
  <c r="P424" i="4"/>
  <c r="P423" i="4"/>
  <c r="P422" i="4"/>
  <c r="P421" i="4"/>
  <c r="P420" i="4"/>
  <c r="P419" i="4"/>
  <c r="P418" i="4"/>
  <c r="P417" i="4"/>
  <c r="P416" i="4"/>
  <c r="P415" i="4"/>
  <c r="P414" i="4"/>
  <c r="P413" i="4"/>
  <c r="P412" i="4"/>
  <c r="P411" i="4"/>
  <c r="P410" i="4"/>
  <c r="P409" i="4"/>
  <c r="P408" i="4"/>
  <c r="P407" i="4"/>
  <c r="P406" i="4"/>
  <c r="P405" i="4"/>
  <c r="P404" i="4"/>
  <c r="P403" i="4"/>
  <c r="P402" i="4"/>
  <c r="P401" i="4"/>
  <c r="P400" i="4"/>
  <c r="P399" i="4"/>
  <c r="P398" i="4"/>
  <c r="P397" i="4"/>
  <c r="P396" i="4"/>
  <c r="P395" i="4"/>
  <c r="P394" i="4"/>
  <c r="P393" i="4"/>
  <c r="P392" i="4"/>
  <c r="P391" i="4"/>
  <c r="P390" i="4"/>
  <c r="P389" i="4"/>
  <c r="P388" i="4"/>
  <c r="P387" i="4"/>
  <c r="P386" i="4"/>
  <c r="P385" i="4"/>
  <c r="P384" i="4"/>
  <c r="P383" i="4"/>
  <c r="P382" i="4"/>
  <c r="P381" i="4"/>
  <c r="P380" i="4"/>
  <c r="P379" i="4"/>
  <c r="P378" i="4"/>
  <c r="P377" i="4"/>
  <c r="P376" i="4"/>
  <c r="P375" i="4"/>
  <c r="P374" i="4"/>
  <c r="P373" i="4"/>
  <c r="P372" i="4"/>
  <c r="P371" i="4"/>
  <c r="P370" i="4"/>
  <c r="P369" i="4"/>
  <c r="P368" i="4"/>
  <c r="P367" i="4"/>
  <c r="P366" i="4"/>
  <c r="P365" i="4"/>
  <c r="P364" i="4"/>
  <c r="P363" i="4"/>
  <c r="P362" i="4"/>
  <c r="P361" i="4"/>
  <c r="P360" i="4"/>
  <c r="P359" i="4"/>
  <c r="P358" i="4"/>
  <c r="P357" i="4"/>
  <c r="P356" i="4"/>
  <c r="P355" i="4"/>
  <c r="P354" i="4"/>
  <c r="P353" i="4"/>
  <c r="P352" i="4"/>
  <c r="P351" i="4"/>
  <c r="P350" i="4"/>
  <c r="P349" i="4"/>
  <c r="P348" i="4"/>
  <c r="P347" i="4"/>
  <c r="P346" i="4"/>
  <c r="P345" i="4"/>
  <c r="P344" i="4"/>
  <c r="P343" i="4"/>
  <c r="P342" i="4"/>
  <c r="P341" i="4"/>
  <c r="P340" i="4"/>
  <c r="P339" i="4"/>
  <c r="P338" i="4"/>
  <c r="P337" i="4"/>
  <c r="P336" i="4"/>
  <c r="P335" i="4"/>
  <c r="P334" i="4"/>
  <c r="P333" i="4"/>
  <c r="P332" i="4"/>
  <c r="P331" i="4"/>
  <c r="P330" i="4"/>
  <c r="P329" i="4"/>
  <c r="P328" i="4"/>
  <c r="P327" i="4"/>
  <c r="P326" i="4"/>
  <c r="P325" i="4"/>
  <c r="P324" i="4"/>
  <c r="P323" i="4"/>
  <c r="P322" i="4"/>
  <c r="P321" i="4"/>
  <c r="P320" i="4"/>
  <c r="P319" i="4"/>
  <c r="P318" i="4"/>
  <c r="P317" i="4"/>
  <c r="P316" i="4"/>
  <c r="P315" i="4"/>
  <c r="P314" i="4"/>
  <c r="P313" i="4"/>
  <c r="P312" i="4"/>
  <c r="P311" i="4"/>
  <c r="P310" i="4"/>
  <c r="P309" i="4"/>
  <c r="P308" i="4"/>
  <c r="P307" i="4"/>
  <c r="P306" i="4"/>
  <c r="P305" i="4"/>
  <c r="P304" i="4"/>
  <c r="P303" i="4"/>
  <c r="P302" i="4"/>
  <c r="P301" i="4"/>
  <c r="P300" i="4"/>
  <c r="P299" i="4"/>
  <c r="P298" i="4"/>
  <c r="P297" i="4"/>
  <c r="P296" i="4"/>
  <c r="P295" i="4"/>
  <c r="P294" i="4"/>
  <c r="P293" i="4"/>
  <c r="P292" i="4"/>
  <c r="P291" i="4"/>
  <c r="P290" i="4"/>
  <c r="P289" i="4"/>
  <c r="P288" i="4"/>
  <c r="P287" i="4"/>
  <c r="P286" i="4"/>
  <c r="P285" i="4"/>
  <c r="P284" i="4"/>
  <c r="P283" i="4"/>
  <c r="P282" i="4"/>
  <c r="P281" i="4"/>
  <c r="P280" i="4"/>
  <c r="P279" i="4"/>
  <c r="P278" i="4"/>
  <c r="P277" i="4"/>
  <c r="P276" i="4"/>
  <c r="P275" i="4"/>
  <c r="P274" i="4"/>
  <c r="P273" i="4"/>
  <c r="P272" i="4"/>
  <c r="P271" i="4"/>
  <c r="P270" i="4"/>
  <c r="P269" i="4"/>
  <c r="P268" i="4"/>
  <c r="P267" i="4"/>
  <c r="P266" i="4"/>
  <c r="P265" i="4"/>
  <c r="P264" i="4"/>
  <c r="P263" i="4"/>
  <c r="P262" i="4"/>
  <c r="P261" i="4"/>
  <c r="P260" i="4"/>
  <c r="P259" i="4"/>
  <c r="P258" i="4"/>
  <c r="P257" i="4"/>
  <c r="P256" i="4"/>
  <c r="P255" i="4"/>
  <c r="P254" i="4"/>
  <c r="P253" i="4"/>
  <c r="P252" i="4"/>
  <c r="P251" i="4"/>
  <c r="P250" i="4"/>
  <c r="P249" i="4"/>
  <c r="P248" i="4"/>
  <c r="P247" i="4"/>
  <c r="P246" i="4"/>
  <c r="P245" i="4"/>
  <c r="P244" i="4"/>
  <c r="P243" i="4"/>
  <c r="P242" i="4"/>
  <c r="P241" i="4"/>
  <c r="P240" i="4"/>
  <c r="P239" i="4"/>
  <c r="P238" i="4"/>
  <c r="A1" i="4" a="1"/>
  <c r="N237" i="4" l="1"/>
  <c r="F237" i="4"/>
  <c r="M236" i="4"/>
  <c r="E236" i="4"/>
  <c r="L235" i="4"/>
  <c r="D235" i="4"/>
  <c r="K234" i="4"/>
  <c r="C234" i="4"/>
  <c r="J233" i="4"/>
  <c r="B233" i="4"/>
  <c r="L237" i="4"/>
  <c r="C237" i="4"/>
  <c r="I236" i="4"/>
  <c r="O235" i="4"/>
  <c r="F235" i="4"/>
  <c r="L234" i="4"/>
  <c r="B234" i="4"/>
  <c r="H233" i="4"/>
  <c r="N232" i="4"/>
  <c r="F232" i="4"/>
  <c r="M231" i="4"/>
  <c r="E231" i="4"/>
  <c r="L230" i="4"/>
  <c r="D230" i="4"/>
  <c r="K229" i="4"/>
  <c r="C229" i="4"/>
  <c r="J228" i="4"/>
  <c r="B228" i="4"/>
  <c r="I227" i="4"/>
  <c r="A227" i="4"/>
  <c r="P227" i="4" s="1"/>
  <c r="H226" i="4"/>
  <c r="O225" i="4"/>
  <c r="G225" i="4"/>
  <c r="N224" i="4"/>
  <c r="F224" i="4"/>
  <c r="M223" i="4"/>
  <c r="E223" i="4"/>
  <c r="L222" i="4"/>
  <c r="D222" i="4"/>
  <c r="K221" i="4"/>
  <c r="C221" i="4"/>
  <c r="J220" i="4"/>
  <c r="B220" i="4"/>
  <c r="I219" i="4"/>
  <c r="A219" i="4"/>
  <c r="P219" i="4" s="1"/>
  <c r="H218" i="4"/>
  <c r="O217" i="4"/>
  <c r="G217" i="4"/>
  <c r="N216" i="4"/>
  <c r="F216" i="4"/>
  <c r="M215" i="4"/>
  <c r="E215" i="4"/>
  <c r="L214" i="4"/>
  <c r="D214" i="4"/>
  <c r="K213" i="4"/>
  <c r="C213" i="4"/>
  <c r="J212" i="4"/>
  <c r="B212" i="4"/>
  <c r="I211" i="4"/>
  <c r="A211" i="4"/>
  <c r="P211" i="4" s="1"/>
  <c r="H210" i="4"/>
  <c r="O209" i="4"/>
  <c r="O237" i="4"/>
  <c r="D237" i="4"/>
  <c r="H236" i="4"/>
  <c r="M235" i="4"/>
  <c r="B235" i="4"/>
  <c r="G234" i="4"/>
  <c r="L233" i="4"/>
  <c r="A233" i="4"/>
  <c r="P233" i="4" s="1"/>
  <c r="G232" i="4"/>
  <c r="L231" i="4"/>
  <c r="C231" i="4"/>
  <c r="I230" i="4"/>
  <c r="O229" i="4"/>
  <c r="F229" i="4"/>
  <c r="L228" i="4"/>
  <c r="C228" i="4"/>
  <c r="H227" i="4"/>
  <c r="N226" i="4"/>
  <c r="E226" i="4"/>
  <c r="K225" i="4"/>
  <c r="B225" i="4"/>
  <c r="H224" i="4"/>
  <c r="N223" i="4"/>
  <c r="D223" i="4"/>
  <c r="J222" i="4"/>
  <c r="A222" i="4"/>
  <c r="P222" i="4" s="1"/>
  <c r="G221" i="4"/>
  <c r="M220" i="4"/>
  <c r="D220" i="4"/>
  <c r="J219" i="4"/>
  <c r="O218" i="4"/>
  <c r="F218" i="4"/>
  <c r="L217" i="4"/>
  <c r="C217" i="4"/>
  <c r="I216" i="4"/>
  <c r="O215" i="4"/>
  <c r="F215" i="4"/>
  <c r="K214" i="4"/>
  <c r="B214" i="4"/>
  <c r="H213" i="4"/>
  <c r="N212" i="4"/>
  <c r="E212" i="4"/>
  <c r="K211" i="4"/>
  <c r="B211" i="4"/>
  <c r="G210" i="4"/>
  <c r="M209" i="4"/>
  <c r="E209" i="4"/>
  <c r="L208" i="4"/>
  <c r="D208" i="4"/>
  <c r="K207" i="4"/>
  <c r="C207" i="4"/>
  <c r="J206" i="4"/>
  <c r="B206" i="4"/>
  <c r="I205" i="4"/>
  <c r="A205" i="4"/>
  <c r="P205" i="4" s="1"/>
  <c r="H204" i="4"/>
  <c r="O203" i="4"/>
  <c r="G203" i="4"/>
  <c r="N202" i="4"/>
  <c r="F202" i="4"/>
  <c r="M201" i="4"/>
  <c r="E201" i="4"/>
  <c r="L200" i="4"/>
  <c r="D200" i="4"/>
  <c r="K199" i="4"/>
  <c r="C199" i="4"/>
  <c r="J198" i="4"/>
  <c r="B198" i="4"/>
  <c r="I197" i="4"/>
  <c r="A197" i="4"/>
  <c r="P197" i="4" s="1"/>
  <c r="H196" i="4"/>
  <c r="O195" i="4"/>
  <c r="G195" i="4"/>
  <c r="N194" i="4"/>
  <c r="F194" i="4"/>
  <c r="M193" i="4"/>
  <c r="E193" i="4"/>
  <c r="L192" i="4"/>
  <c r="D192" i="4"/>
  <c r="K191" i="4"/>
  <c r="C191" i="4"/>
  <c r="J190" i="4"/>
  <c r="B190" i="4"/>
  <c r="I189" i="4"/>
  <c r="A189" i="4"/>
  <c r="P189" i="4" s="1"/>
  <c r="H188" i="4"/>
  <c r="O187" i="4"/>
  <c r="G187" i="4"/>
  <c r="N186" i="4"/>
  <c r="F186" i="4"/>
  <c r="M185" i="4"/>
  <c r="E185" i="4"/>
  <c r="L184" i="4"/>
  <c r="D184" i="4"/>
  <c r="K183" i="4"/>
  <c r="C183" i="4"/>
  <c r="J182" i="4"/>
  <c r="B182" i="4"/>
  <c r="I181" i="4"/>
  <c r="A181" i="4"/>
  <c r="P181" i="4" s="1"/>
  <c r="H180" i="4"/>
  <c r="O179" i="4"/>
  <c r="G179" i="4"/>
  <c r="N178" i="4"/>
  <c r="F178" i="4"/>
  <c r="M177" i="4"/>
  <c r="E177" i="4"/>
  <c r="L176" i="4"/>
  <c r="D176" i="4"/>
  <c r="K175" i="4"/>
  <c r="C175" i="4"/>
  <c r="J174" i="4"/>
  <c r="B174" i="4"/>
  <c r="I173" i="4"/>
  <c r="A173" i="4"/>
  <c r="P173" i="4" s="1"/>
  <c r="H172" i="4"/>
  <c r="O171" i="4"/>
  <c r="G171" i="4"/>
  <c r="N170" i="4"/>
  <c r="F170" i="4"/>
  <c r="M169" i="4"/>
  <c r="E169" i="4"/>
  <c r="L168" i="4"/>
  <c r="D168" i="4"/>
  <c r="K167" i="4"/>
  <c r="C167" i="4"/>
  <c r="J166" i="4"/>
  <c r="B166" i="4"/>
  <c r="I165" i="4"/>
  <c r="A165" i="4"/>
  <c r="P165" i="4" s="1"/>
  <c r="H164" i="4"/>
  <c r="O163" i="4"/>
  <c r="G163" i="4"/>
  <c r="N162" i="4"/>
  <c r="F162" i="4"/>
  <c r="M161" i="4"/>
  <c r="E161" i="4"/>
  <c r="L160" i="4"/>
  <c r="D160" i="4"/>
  <c r="K159" i="4"/>
  <c r="C159" i="4"/>
  <c r="J158" i="4"/>
  <c r="B158" i="4"/>
  <c r="I157" i="4"/>
  <c r="A157" i="4"/>
  <c r="P157" i="4" s="1"/>
  <c r="H156" i="4"/>
  <c r="O155" i="4"/>
  <c r="B237" i="4"/>
  <c r="F236" i="4"/>
  <c r="I235" i="4"/>
  <c r="M234" i="4"/>
  <c r="O233" i="4"/>
  <c r="D233" i="4"/>
  <c r="H232" i="4"/>
  <c r="K231" i="4"/>
  <c r="A231" i="4"/>
  <c r="P231" i="4" s="1"/>
  <c r="F230" i="4"/>
  <c r="J229" i="4"/>
  <c r="O228" i="4"/>
  <c r="E228" i="4"/>
  <c r="J227" i="4"/>
  <c r="M226" i="4"/>
  <c r="C226" i="4"/>
  <c r="H225" i="4"/>
  <c r="L224" i="4"/>
  <c r="B224" i="4"/>
  <c r="G223" i="4"/>
  <c r="K222" i="4"/>
  <c r="O221" i="4"/>
  <c r="E221" i="4"/>
  <c r="I220" i="4"/>
  <c r="N219" i="4"/>
  <c r="D219" i="4"/>
  <c r="I218" i="4"/>
  <c r="M217" i="4"/>
  <c r="B217" i="4"/>
  <c r="G216" i="4"/>
  <c r="K215" i="4"/>
  <c r="A215" i="4"/>
  <c r="P215" i="4" s="1"/>
  <c r="F214" i="4"/>
  <c r="J213" i="4"/>
  <c r="O212" i="4"/>
  <c r="D212" i="4"/>
  <c r="H211" i="4"/>
  <c r="M210" i="4"/>
  <c r="C210" i="4"/>
  <c r="H209" i="4"/>
  <c r="N208" i="4"/>
  <c r="E208" i="4"/>
  <c r="J207" i="4"/>
  <c r="A207" i="4"/>
  <c r="P207" i="4" s="1"/>
  <c r="G206" i="4"/>
  <c r="M205" i="4"/>
  <c r="D205" i="4"/>
  <c r="J204" i="4"/>
  <c r="A204" i="4"/>
  <c r="P204" i="4" s="1"/>
  <c r="F203" i="4"/>
  <c r="L202" i="4"/>
  <c r="C202" i="4"/>
  <c r="I201" i="4"/>
  <c r="O200" i="4"/>
  <c r="F200" i="4"/>
  <c r="L199" i="4"/>
  <c r="B199" i="4"/>
  <c r="H198" i="4"/>
  <c r="N197" i="4"/>
  <c r="E197" i="4"/>
  <c r="K196" i="4"/>
  <c r="B196" i="4"/>
  <c r="H195" i="4"/>
  <c r="M194" i="4"/>
  <c r="D194" i="4"/>
  <c r="J193" i="4"/>
  <c r="A193" i="4"/>
  <c r="P193" i="4" s="1"/>
  <c r="G192" i="4"/>
  <c r="M191" i="4"/>
  <c r="G237" i="4"/>
  <c r="G236" i="4"/>
  <c r="H235" i="4"/>
  <c r="I234" i="4"/>
  <c r="K233" i="4"/>
  <c r="L232" i="4"/>
  <c r="A232" i="4"/>
  <c r="P232" i="4" s="1"/>
  <c r="D231" i="4"/>
  <c r="G230" i="4"/>
  <c r="I229" i="4"/>
  <c r="M228" i="4"/>
  <c r="O227" i="4"/>
  <c r="D227" i="4"/>
  <c r="G226" i="4"/>
  <c r="J225" i="4"/>
  <c r="M224" i="4"/>
  <c r="A224" i="4"/>
  <c r="P224" i="4" s="1"/>
  <c r="C223" i="4"/>
  <c r="G222" i="4"/>
  <c r="J221" i="4"/>
  <c r="N220" i="4"/>
  <c r="A220" i="4"/>
  <c r="P220" i="4" s="1"/>
  <c r="E219" i="4"/>
  <c r="G218" i="4"/>
  <c r="J217" i="4"/>
  <c r="M216" i="4"/>
  <c r="B216" i="4"/>
  <c r="D215" i="4"/>
  <c r="H214" i="4"/>
  <c r="L213" i="4"/>
  <c r="M212" i="4"/>
  <c r="A212" i="4"/>
  <c r="P212" i="4" s="1"/>
  <c r="E211" i="4"/>
  <c r="I210" i="4"/>
  <c r="K209" i="4"/>
  <c r="A209" i="4"/>
  <c r="P209" i="4" s="1"/>
  <c r="F208" i="4"/>
  <c r="I207" i="4"/>
  <c r="N206" i="4"/>
  <c r="D206" i="4"/>
  <c r="H205" i="4"/>
  <c r="M204" i="4"/>
  <c r="C204" i="4"/>
  <c r="H203" i="4"/>
  <c r="K202" i="4"/>
  <c r="A202" i="4"/>
  <c r="P202" i="4" s="1"/>
  <c r="F201" i="4"/>
  <c r="J200" i="4"/>
  <c r="O199" i="4"/>
  <c r="E199" i="4"/>
  <c r="I198" i="4"/>
  <c r="M197" i="4"/>
  <c r="C197" i="4"/>
  <c r="G196" i="4"/>
  <c r="L195" i="4"/>
  <c r="B195" i="4"/>
  <c r="G194" i="4"/>
  <c r="K193" i="4"/>
  <c r="O192" i="4"/>
  <c r="E192" i="4"/>
  <c r="I191" i="4"/>
  <c r="O190" i="4"/>
  <c r="F190" i="4"/>
  <c r="L189" i="4"/>
  <c r="C189" i="4"/>
  <c r="I188" i="4"/>
  <c r="N187" i="4"/>
  <c r="E187" i="4"/>
  <c r="K186" i="4"/>
  <c r="B186" i="4"/>
  <c r="H185" i="4"/>
  <c r="N184" i="4"/>
  <c r="E184" i="4"/>
  <c r="J183" i="4"/>
  <c r="A183" i="4"/>
  <c r="P183" i="4" s="1"/>
  <c r="A237" i="4"/>
  <c r="P237" i="4" s="1"/>
  <c r="C236" i="4"/>
  <c r="E235" i="4"/>
  <c r="F234" i="4"/>
  <c r="G233" i="4"/>
  <c r="J232" i="4"/>
  <c r="N231" i="4"/>
  <c r="O230" i="4"/>
  <c r="C230" i="4"/>
  <c r="G229" i="4"/>
  <c r="I228" i="4"/>
  <c r="M227" i="4"/>
  <c r="B227" i="4"/>
  <c r="D226" i="4"/>
  <c r="F225" i="4"/>
  <c r="J224" i="4"/>
  <c r="L223" i="4"/>
  <c r="A223" i="4"/>
  <c r="P223" i="4" s="1"/>
  <c r="E222" i="4"/>
  <c r="H221" i="4"/>
  <c r="K220" i="4"/>
  <c r="M219" i="4"/>
  <c r="B219" i="4"/>
  <c r="D218" i="4"/>
  <c r="H217" i="4"/>
  <c r="K216" i="4"/>
  <c r="N215" i="4"/>
  <c r="B215" i="4"/>
  <c r="E214" i="4"/>
  <c r="G213" i="4"/>
  <c r="K212" i="4"/>
  <c r="N211" i="4"/>
  <c r="C211" i="4"/>
  <c r="E210" i="4"/>
  <c r="I209" i="4"/>
  <c r="K237" i="4"/>
  <c r="N236" i="4"/>
  <c r="A236" i="4"/>
  <c r="P236" i="4" s="1"/>
  <c r="A235" i="4"/>
  <c r="P235" i="4" s="1"/>
  <c r="D234" i="4"/>
  <c r="E233" i="4"/>
  <c r="E232" i="4"/>
  <c r="I231" i="4"/>
  <c r="M230" i="4"/>
  <c r="A230" i="4"/>
  <c r="P230" i="4" s="1"/>
  <c r="D229" i="4"/>
  <c r="G228" i="4"/>
  <c r="K227" i="4"/>
  <c r="L226" i="4"/>
  <c r="A226" i="4"/>
  <c r="P226" i="4" s="1"/>
  <c r="D225" i="4"/>
  <c r="G224" i="4"/>
  <c r="J223" i="4"/>
  <c r="N222" i="4"/>
  <c r="B222" i="4"/>
  <c r="D221" i="4"/>
  <c r="G220" i="4"/>
  <c r="K219" i="4"/>
  <c r="M218" i="4"/>
  <c r="B218" i="4"/>
  <c r="E217" i="4"/>
  <c r="H216" i="4"/>
  <c r="J215" i="4"/>
  <c r="N214" i="4"/>
  <c r="A214" i="4"/>
  <c r="P214" i="4" s="1"/>
  <c r="E213" i="4"/>
  <c r="H212" i="4"/>
  <c r="L211" i="4"/>
  <c r="N210" i="4"/>
  <c r="B210" i="4"/>
  <c r="F209" i="4"/>
  <c r="J208" i="4"/>
  <c r="O207" i="4"/>
  <c r="E237" i="4"/>
  <c r="K235" i="4"/>
  <c r="E234" i="4"/>
  <c r="M232" i="4"/>
  <c r="H231" i="4"/>
  <c r="E230" i="4"/>
  <c r="A229" i="4"/>
  <c r="P229" i="4" s="1"/>
  <c r="L227" i="4"/>
  <c r="I226" i="4"/>
  <c r="C225" i="4"/>
  <c r="O223" i="4"/>
  <c r="I222" i="4"/>
  <c r="F221" i="4"/>
  <c r="C220" i="4"/>
  <c r="L218" i="4"/>
  <c r="I217" i="4"/>
  <c r="D216" i="4"/>
  <c r="O214" i="4"/>
  <c r="M213" i="4"/>
  <c r="G212" i="4"/>
  <c r="D211" i="4"/>
  <c r="N209" i="4"/>
  <c r="M208" i="4"/>
  <c r="N207" i="4"/>
  <c r="B207" i="4"/>
  <c r="E206" i="4"/>
  <c r="G205" i="4"/>
  <c r="K204" i="4"/>
  <c r="M203" i="4"/>
  <c r="B203" i="4"/>
  <c r="E202" i="4"/>
  <c r="H201" i="4"/>
  <c r="K200" i="4"/>
  <c r="N199" i="4"/>
  <c r="A199" i="4"/>
  <c r="P199" i="4" s="1"/>
  <c r="E198" i="4"/>
  <c r="H197" i="4"/>
  <c r="L196" i="4"/>
  <c r="N195" i="4"/>
  <c r="C195" i="4"/>
  <c r="E194" i="4"/>
  <c r="H193" i="4"/>
  <c r="K192" i="4"/>
  <c r="O191" i="4"/>
  <c r="D191" i="4"/>
  <c r="H190" i="4"/>
  <c r="M189" i="4"/>
  <c r="B189" i="4"/>
  <c r="F188" i="4"/>
  <c r="K187" i="4"/>
  <c r="A187" i="4"/>
  <c r="P187" i="4" s="1"/>
  <c r="E186" i="4"/>
  <c r="J185" i="4"/>
  <c r="O184" i="4"/>
  <c r="C184" i="4"/>
  <c r="H183" i="4"/>
  <c r="M182" i="4"/>
  <c r="D182" i="4"/>
  <c r="J181" i="4"/>
  <c r="O180" i="4"/>
  <c r="F180" i="4"/>
  <c r="L179" i="4"/>
  <c r="C179" i="4"/>
  <c r="I178" i="4"/>
  <c r="O177" i="4"/>
  <c r="F177" i="4"/>
  <c r="K176" i="4"/>
  <c r="B176" i="4"/>
  <c r="H175" i="4"/>
  <c r="N174" i="4"/>
  <c r="E174" i="4"/>
  <c r="K173" i="4"/>
  <c r="B173" i="4"/>
  <c r="G172" i="4"/>
  <c r="M171" i="4"/>
  <c r="D171" i="4"/>
  <c r="J170" i="4"/>
  <c r="A170" i="4"/>
  <c r="P170" i="4" s="1"/>
  <c r="G169" i="4"/>
  <c r="M168" i="4"/>
  <c r="C168" i="4"/>
  <c r="I167" i="4"/>
  <c r="O166" i="4"/>
  <c r="F166" i="4"/>
  <c r="L165" i="4"/>
  <c r="C165" i="4"/>
  <c r="I164" i="4"/>
  <c r="N163" i="4"/>
  <c r="E163" i="4"/>
  <c r="K162" i="4"/>
  <c r="B162" i="4"/>
  <c r="H161" i="4"/>
  <c r="N160" i="4"/>
  <c r="E160" i="4"/>
  <c r="J159" i="4"/>
  <c r="A159" i="4"/>
  <c r="P159" i="4" s="1"/>
  <c r="G158" i="4"/>
  <c r="M157" i="4"/>
  <c r="D157" i="4"/>
  <c r="J156" i="4"/>
  <c r="A156" i="4"/>
  <c r="P156" i="4" s="1"/>
  <c r="G155" i="4"/>
  <c r="N154" i="4"/>
  <c r="F154" i="4"/>
  <c r="M153" i="4"/>
  <c r="E153" i="4"/>
  <c r="L152" i="4"/>
  <c r="D152" i="4"/>
  <c r="K151" i="4"/>
  <c r="O236" i="4"/>
  <c r="J235" i="4"/>
  <c r="A234" i="4"/>
  <c r="P234" i="4" s="1"/>
  <c r="K232" i="4"/>
  <c r="G231" i="4"/>
  <c r="B230" i="4"/>
  <c r="N228" i="4"/>
  <c r="G227" i="4"/>
  <c r="F226" i="4"/>
  <c r="A225" i="4"/>
  <c r="P225" i="4" s="1"/>
  <c r="K223" i="4"/>
  <c r="H222" i="4"/>
  <c r="B221" i="4"/>
  <c r="O219" i="4"/>
  <c r="K218" i="4"/>
  <c r="F217" i="4"/>
  <c r="C216" i="4"/>
  <c r="M214" i="4"/>
  <c r="I213" i="4"/>
  <c r="F212" i="4"/>
  <c r="O210" i="4"/>
  <c r="L209" i="4"/>
  <c r="K208" i="4"/>
  <c r="M207" i="4"/>
  <c r="O206" i="4"/>
  <c r="C206" i="4"/>
  <c r="F205" i="4"/>
  <c r="I204" i="4"/>
  <c r="L203" i="4"/>
  <c r="A203" i="4"/>
  <c r="P203" i="4" s="1"/>
  <c r="D202" i="4"/>
  <c r="G201" i="4"/>
  <c r="I200" i="4"/>
  <c r="M199" i="4"/>
  <c r="O198" i="4"/>
  <c r="D198" i="4"/>
  <c r="G197" i="4"/>
  <c r="J196" i="4"/>
  <c r="M195" i="4"/>
  <c r="A195" i="4"/>
  <c r="P195" i="4" s="1"/>
  <c r="C194" i="4"/>
  <c r="G193" i="4"/>
  <c r="J192" i="4"/>
  <c r="N191" i="4"/>
  <c r="B191" i="4"/>
  <c r="G190" i="4"/>
  <c r="K189" i="4"/>
  <c r="O188" i="4"/>
  <c r="E188" i="4"/>
  <c r="J187" i="4"/>
  <c r="O186" i="4"/>
  <c r="D186" i="4"/>
  <c r="I185" i="4"/>
  <c r="M184" i="4"/>
  <c r="B184" i="4"/>
  <c r="G183" i="4"/>
  <c r="L182" i="4"/>
  <c r="C182" i="4"/>
  <c r="H181" i="4"/>
  <c r="N180" i="4"/>
  <c r="E180" i="4"/>
  <c r="K179" i="4"/>
  <c r="B179" i="4"/>
  <c r="H178" i="4"/>
  <c r="N177" i="4"/>
  <c r="D177" i="4"/>
  <c r="J176" i="4"/>
  <c r="A176" i="4"/>
  <c r="P176" i="4" s="1"/>
  <c r="G175" i="4"/>
  <c r="M174" i="4"/>
  <c r="D174" i="4"/>
  <c r="J173" i="4"/>
  <c r="O172" i="4"/>
  <c r="F172" i="4"/>
  <c r="L171" i="4"/>
  <c r="C171" i="4"/>
  <c r="I170" i="4"/>
  <c r="O169" i="4"/>
  <c r="F169" i="4"/>
  <c r="K168" i="4"/>
  <c r="B168" i="4"/>
  <c r="H167" i="4"/>
  <c r="N166" i="4"/>
  <c r="E166" i="4"/>
  <c r="K165" i="4"/>
  <c r="B165" i="4"/>
  <c r="G164" i="4"/>
  <c r="M163" i="4"/>
  <c r="D163" i="4"/>
  <c r="J162" i="4"/>
  <c r="A162" i="4"/>
  <c r="P162" i="4" s="1"/>
  <c r="G161" i="4"/>
  <c r="M160" i="4"/>
  <c r="C160" i="4"/>
  <c r="I159" i="4"/>
  <c r="O158" i="4"/>
  <c r="F158" i="4"/>
  <c r="L157" i="4"/>
  <c r="C157" i="4"/>
  <c r="I156" i="4"/>
  <c r="N155" i="4"/>
  <c r="F155" i="4"/>
  <c r="M154" i="4"/>
  <c r="E154" i="4"/>
  <c r="L153" i="4"/>
  <c r="D153" i="4"/>
  <c r="K152" i="4"/>
  <c r="C152" i="4"/>
  <c r="J151" i="4"/>
  <c r="B151" i="4"/>
  <c r="I150" i="4"/>
  <c r="A150" i="4"/>
  <c r="P150" i="4" s="1"/>
  <c r="H149" i="4"/>
  <c r="O148" i="4"/>
  <c r="G148" i="4"/>
  <c r="N147" i="4"/>
  <c r="F147" i="4"/>
  <c r="M146" i="4"/>
  <c r="E146" i="4"/>
  <c r="L145" i="4"/>
  <c r="D145" i="4"/>
  <c r="K144" i="4"/>
  <c r="C144" i="4"/>
  <c r="L236" i="4"/>
  <c r="G235" i="4"/>
  <c r="N233" i="4"/>
  <c r="I232" i="4"/>
  <c r="F231" i="4"/>
  <c r="N229" i="4"/>
  <c r="K228" i="4"/>
  <c r="F227" i="4"/>
  <c r="B226" i="4"/>
  <c r="O224" i="4"/>
  <c r="I223" i="4"/>
  <c r="F222" i="4"/>
  <c r="A221" i="4"/>
  <c r="P221" i="4" s="1"/>
  <c r="L219" i="4"/>
  <c r="J218" i="4"/>
  <c r="D217" i="4"/>
  <c r="A216" i="4"/>
  <c r="P216" i="4" s="1"/>
  <c r="J214" i="4"/>
  <c r="F213" i="4"/>
  <c r="C212" i="4"/>
  <c r="L210" i="4"/>
  <c r="J209" i="4"/>
  <c r="I208" i="4"/>
  <c r="L207" i="4"/>
  <c r="M206" i="4"/>
  <c r="A206" i="4"/>
  <c r="P206" i="4" s="1"/>
  <c r="E205" i="4"/>
  <c r="G204" i="4"/>
  <c r="K203" i="4"/>
  <c r="O202" i="4"/>
  <c r="B202" i="4"/>
  <c r="D201" i="4"/>
  <c r="H200" i="4"/>
  <c r="J199" i="4"/>
  <c r="N198" i="4"/>
  <c r="C198" i="4"/>
  <c r="F197" i="4"/>
  <c r="I196" i="4"/>
  <c r="K195" i="4"/>
  <c r="O194" i="4"/>
  <c r="B194" i="4"/>
  <c r="F193" i="4"/>
  <c r="I192" i="4"/>
  <c r="L191" i="4"/>
  <c r="A191" i="4"/>
  <c r="P191" i="4" s="1"/>
  <c r="E190" i="4"/>
  <c r="J189" i="4"/>
  <c r="N188" i="4"/>
  <c r="D188" i="4"/>
  <c r="I187" i="4"/>
  <c r="M186" i="4"/>
  <c r="C186" i="4"/>
  <c r="G185" i="4"/>
  <c r="K184" i="4"/>
  <c r="A184" i="4"/>
  <c r="P184" i="4" s="1"/>
  <c r="F183" i="4"/>
  <c r="K182" i="4"/>
  <c r="A182" i="4"/>
  <c r="P182" i="4" s="1"/>
  <c r="G181" i="4"/>
  <c r="M180" i="4"/>
  <c r="D180" i="4"/>
  <c r="J179" i="4"/>
  <c r="A179" i="4"/>
  <c r="P179" i="4" s="1"/>
  <c r="G178" i="4"/>
  <c r="L177" i="4"/>
  <c r="C177" i="4"/>
  <c r="I176" i="4"/>
  <c r="O175" i="4"/>
  <c r="F175" i="4"/>
  <c r="L174" i="4"/>
  <c r="C174" i="4"/>
  <c r="H173" i="4"/>
  <c r="N172" i="4"/>
  <c r="E172" i="4"/>
  <c r="K171" i="4"/>
  <c r="B171" i="4"/>
  <c r="H170" i="4"/>
  <c r="N169" i="4"/>
  <c r="D169" i="4"/>
  <c r="J168" i="4"/>
  <c r="A168" i="4"/>
  <c r="P168" i="4" s="1"/>
  <c r="G167" i="4"/>
  <c r="M166" i="4"/>
  <c r="D166" i="4"/>
  <c r="J165" i="4"/>
  <c r="O164" i="4"/>
  <c r="F164" i="4"/>
  <c r="L163" i="4"/>
  <c r="C163" i="4"/>
  <c r="I162" i="4"/>
  <c r="O161" i="4"/>
  <c r="F161" i="4"/>
  <c r="K160" i="4"/>
  <c r="B160" i="4"/>
  <c r="H159" i="4"/>
  <c r="N158" i="4"/>
  <c r="E158" i="4"/>
  <c r="K157" i="4"/>
  <c r="B157" i="4"/>
  <c r="G156" i="4"/>
  <c r="M155" i="4"/>
  <c r="E155" i="4"/>
  <c r="L154" i="4"/>
  <c r="D154" i="4"/>
  <c r="K153" i="4"/>
  <c r="C153" i="4"/>
  <c r="J152" i="4"/>
  <c r="B152" i="4"/>
  <c r="I151" i="4"/>
  <c r="A151" i="4"/>
  <c r="P151" i="4" s="1"/>
  <c r="H150" i="4"/>
  <c r="O149" i="4"/>
  <c r="G149" i="4"/>
  <c r="N148" i="4"/>
  <c r="F148" i="4"/>
  <c r="M147" i="4"/>
  <c r="E147" i="4"/>
  <c r="L146" i="4"/>
  <c r="D146" i="4"/>
  <c r="K145" i="4"/>
  <c r="C145" i="4"/>
  <c r="J144" i="4"/>
  <c r="B144" i="4"/>
  <c r="I143" i="4"/>
  <c r="A143" i="4"/>
  <c r="P143" i="4" s="1"/>
  <c r="H142" i="4"/>
  <c r="O141" i="4"/>
  <c r="G141" i="4"/>
  <c r="N140" i="4"/>
  <c r="F140" i="4"/>
  <c r="M139" i="4"/>
  <c r="E139" i="4"/>
  <c r="L138" i="4"/>
  <c r="D138" i="4"/>
  <c r="K137" i="4"/>
  <c r="C137" i="4"/>
  <c r="J136" i="4"/>
  <c r="B136" i="4"/>
  <c r="I135" i="4"/>
  <c r="A135" i="4"/>
  <c r="P135" i="4" s="1"/>
  <c r="H134" i="4"/>
  <c r="O133" i="4"/>
  <c r="G133" i="4"/>
  <c r="N132" i="4"/>
  <c r="F132" i="4"/>
  <c r="M131" i="4"/>
  <c r="E131" i="4"/>
  <c r="L130" i="4"/>
  <c r="D130" i="4"/>
  <c r="K129" i="4"/>
  <c r="C129" i="4"/>
  <c r="J128" i="4"/>
  <c r="B128" i="4"/>
  <c r="K236" i="4"/>
  <c r="C235" i="4"/>
  <c r="M233" i="4"/>
  <c r="D232" i="4"/>
  <c r="B231" i="4"/>
  <c r="M229" i="4"/>
  <c r="H228" i="4"/>
  <c r="E227" i="4"/>
  <c r="N225" i="4"/>
  <c r="K224" i="4"/>
  <c r="H223" i="4"/>
  <c r="C222" i="4"/>
  <c r="O220" i="4"/>
  <c r="H219" i="4"/>
  <c r="E218" i="4"/>
  <c r="A217" i="4"/>
  <c r="P217" i="4" s="1"/>
  <c r="L215" i="4"/>
  <c r="I214" i="4"/>
  <c r="D213" i="4"/>
  <c r="O211" i="4"/>
  <c r="K210" i="4"/>
  <c r="G209" i="4"/>
  <c r="H208" i="4"/>
  <c r="H207" i="4"/>
  <c r="L206" i="4"/>
  <c r="O205" i="4"/>
  <c r="C205" i="4"/>
  <c r="F204" i="4"/>
  <c r="J203" i="4"/>
  <c r="M202" i="4"/>
  <c r="O201" i="4"/>
  <c r="C201" i="4"/>
  <c r="G200" i="4"/>
  <c r="I199" i="4"/>
  <c r="M198" i="4"/>
  <c r="A198" i="4"/>
  <c r="P198" i="4" s="1"/>
  <c r="D197" i="4"/>
  <c r="F196" i="4"/>
  <c r="J195" i="4"/>
  <c r="L194" i="4"/>
  <c r="A194" i="4"/>
  <c r="P194" i="4" s="1"/>
  <c r="D193" i="4"/>
  <c r="H192" i="4"/>
  <c r="J191" i="4"/>
  <c r="N190" i="4"/>
  <c r="D190" i="4"/>
  <c r="H189" i="4"/>
  <c r="M188" i="4"/>
  <c r="C188" i="4"/>
  <c r="H187" i="4"/>
  <c r="L186" i="4"/>
  <c r="A186" i="4"/>
  <c r="P186" i="4" s="1"/>
  <c r="F185" i="4"/>
  <c r="J184" i="4"/>
  <c r="O183" i="4"/>
  <c r="E183" i="4"/>
  <c r="I182" i="4"/>
  <c r="O181" i="4"/>
  <c r="F181" i="4"/>
  <c r="L180" i="4"/>
  <c r="C180" i="4"/>
  <c r="I179" i="4"/>
  <c r="O178" i="4"/>
  <c r="E178" i="4"/>
  <c r="K177" i="4"/>
  <c r="B177" i="4"/>
  <c r="H176" i="4"/>
  <c r="N175" i="4"/>
  <c r="E175" i="4"/>
  <c r="K174" i="4"/>
  <c r="A174" i="4"/>
  <c r="P174" i="4" s="1"/>
  <c r="G173" i="4"/>
  <c r="M172" i="4"/>
  <c r="D172" i="4"/>
  <c r="J171" i="4"/>
  <c r="A171" i="4"/>
  <c r="P171" i="4" s="1"/>
  <c r="G170" i="4"/>
  <c r="L169" i="4"/>
  <c r="M237" i="4"/>
  <c r="J236" i="4"/>
  <c r="O234" i="4"/>
  <c r="I233" i="4"/>
  <c r="C232" i="4"/>
  <c r="N230" i="4"/>
  <c r="L229" i="4"/>
  <c r="F228" i="4"/>
  <c r="C227" i="4"/>
  <c r="M225" i="4"/>
  <c r="I224" i="4"/>
  <c r="F223" i="4"/>
  <c r="N221" i="4"/>
  <c r="L220" i="4"/>
  <c r="G219" i="4"/>
  <c r="C218" i="4"/>
  <c r="O216" i="4"/>
  <c r="I215" i="4"/>
  <c r="G214" i="4"/>
  <c r="B213" i="4"/>
  <c r="M211" i="4"/>
  <c r="J210" i="4"/>
  <c r="D209" i="4"/>
  <c r="G208" i="4"/>
  <c r="G207" i="4"/>
  <c r="K206" i="4"/>
  <c r="N205" i="4"/>
  <c r="B205" i="4"/>
  <c r="E204" i="4"/>
  <c r="I203" i="4"/>
  <c r="J202" i="4"/>
  <c r="N201" i="4"/>
  <c r="B201" i="4"/>
  <c r="E200" i="4"/>
  <c r="H199" i="4"/>
  <c r="L198" i="4"/>
  <c r="O197" i="4"/>
  <c r="B197" i="4"/>
  <c r="E196" i="4"/>
  <c r="I195" i="4"/>
  <c r="K194" i="4"/>
  <c r="O193" i="4"/>
  <c r="C193" i="4"/>
  <c r="F192" i="4"/>
  <c r="H191" i="4"/>
  <c r="M190" i="4"/>
  <c r="C190" i="4"/>
  <c r="G189" i="4"/>
  <c r="L188" i="4"/>
  <c r="B188" i="4"/>
  <c r="F187" i="4"/>
  <c r="J186" i="4"/>
  <c r="O185" i="4"/>
  <c r="D185" i="4"/>
  <c r="I184" i="4"/>
  <c r="N183" i="4"/>
  <c r="D183" i="4"/>
  <c r="H182" i="4"/>
  <c r="N181" i="4"/>
  <c r="E181" i="4"/>
  <c r="K180" i="4"/>
  <c r="B180" i="4"/>
  <c r="H179" i="4"/>
  <c r="M178" i="4"/>
  <c r="D178" i="4"/>
  <c r="J177" i="4"/>
  <c r="A177" i="4"/>
  <c r="P177" i="4" s="1"/>
  <c r="G176" i="4"/>
  <c r="M175" i="4"/>
  <c r="D175" i="4"/>
  <c r="I174" i="4"/>
  <c r="O173" i="4"/>
  <c r="F173" i="4"/>
  <c r="L172" i="4"/>
  <c r="C172" i="4"/>
  <c r="I171" i="4"/>
  <c r="O170" i="4"/>
  <c r="E170" i="4"/>
  <c r="K169" i="4"/>
  <c r="B169" i="4"/>
  <c r="H168" i="4"/>
  <c r="N167" i="4"/>
  <c r="E167" i="4"/>
  <c r="K166" i="4"/>
  <c r="A166" i="4"/>
  <c r="P166" i="4" s="1"/>
  <c r="G165" i="4"/>
  <c r="M164" i="4"/>
  <c r="D164" i="4"/>
  <c r="J163" i="4"/>
  <c r="A163" i="4"/>
  <c r="P163" i="4" s="1"/>
  <c r="G162" i="4"/>
  <c r="I237" i="4"/>
  <c r="B236" i="4"/>
  <c r="J234" i="4"/>
  <c r="C233" i="4"/>
  <c r="O231" i="4"/>
  <c r="J230" i="4"/>
  <c r="E229" i="4"/>
  <c r="A228" i="4"/>
  <c r="P228" i="4" s="1"/>
  <c r="K226" i="4"/>
  <c r="I225" i="4"/>
  <c r="D224" i="4"/>
  <c r="O222" i="4"/>
  <c r="L221" i="4"/>
  <c r="F220" i="4"/>
  <c r="C219" i="4"/>
  <c r="N217" i="4"/>
  <c r="J216" i="4"/>
  <c r="G215" i="4"/>
  <c r="O213" i="4"/>
  <c r="L212" i="4"/>
  <c r="G211" i="4"/>
  <c r="D210" i="4"/>
  <c r="B209" i="4"/>
  <c r="B208" i="4"/>
  <c r="E207" i="4"/>
  <c r="H206" i="4"/>
  <c r="K205" i="4"/>
  <c r="N204" i="4"/>
  <c r="B204" i="4"/>
  <c r="D203" i="4"/>
  <c r="H202" i="4"/>
  <c r="K201" i="4"/>
  <c r="N200" i="4"/>
  <c r="B200" i="4"/>
  <c r="F199" i="4"/>
  <c r="G198" i="4"/>
  <c r="K197" i="4"/>
  <c r="N196" i="4"/>
  <c r="C196" i="4"/>
  <c r="E195" i="4"/>
  <c r="I194" i="4"/>
  <c r="L193" i="4"/>
  <c r="N192" i="4"/>
  <c r="B192" i="4"/>
  <c r="F191" i="4"/>
  <c r="K190" i="4"/>
  <c r="O189" i="4"/>
  <c r="E189" i="4"/>
  <c r="J188" i="4"/>
  <c r="M187" i="4"/>
  <c r="C187" i="4"/>
  <c r="H186" i="4"/>
  <c r="H237" i="4"/>
  <c r="J231" i="4"/>
  <c r="J226" i="4"/>
  <c r="I221" i="4"/>
  <c r="E216" i="4"/>
  <c r="F211" i="4"/>
  <c r="D207" i="4"/>
  <c r="N203" i="4"/>
  <c r="M200" i="4"/>
  <c r="J197" i="4"/>
  <c r="H194" i="4"/>
  <c r="E191" i="4"/>
  <c r="G188" i="4"/>
  <c r="L185" i="4"/>
  <c r="M183" i="4"/>
  <c r="E182" i="4"/>
  <c r="I180" i="4"/>
  <c r="L178" i="4"/>
  <c r="G177" i="4"/>
  <c r="J175" i="4"/>
  <c r="N173" i="4"/>
  <c r="I172" i="4"/>
  <c r="L170" i="4"/>
  <c r="C169" i="4"/>
  <c r="O167" i="4"/>
  <c r="L166" i="4"/>
  <c r="H165" i="4"/>
  <c r="E164" i="4"/>
  <c r="B163" i="4"/>
  <c r="N161" i="4"/>
  <c r="A161" i="4"/>
  <c r="P161" i="4" s="1"/>
  <c r="O159" i="4"/>
  <c r="B159" i="4"/>
  <c r="A158" i="4"/>
  <c r="P158" i="4" s="1"/>
  <c r="O156" i="4"/>
  <c r="C156" i="4"/>
  <c r="C155" i="4"/>
  <c r="G154" i="4"/>
  <c r="H153" i="4"/>
  <c r="I152" i="4"/>
  <c r="M151" i="4"/>
  <c r="O150" i="4"/>
  <c r="E150" i="4"/>
  <c r="J149" i="4"/>
  <c r="M148" i="4"/>
  <c r="C148" i="4"/>
  <c r="H147" i="4"/>
  <c r="K146" i="4"/>
  <c r="A146" i="4"/>
  <c r="P146" i="4" s="1"/>
  <c r="F145" i="4"/>
  <c r="I144" i="4"/>
  <c r="N143" i="4"/>
  <c r="E143" i="4"/>
  <c r="K142" i="4"/>
  <c r="B142" i="4"/>
  <c r="H141" i="4"/>
  <c r="M140" i="4"/>
  <c r="D140" i="4"/>
  <c r="J139" i="4"/>
  <c r="A139" i="4"/>
  <c r="P139" i="4" s="1"/>
  <c r="G138" i="4"/>
  <c r="M137" i="4"/>
  <c r="D137" i="4"/>
  <c r="I136" i="4"/>
  <c r="O135" i="4"/>
  <c r="F135" i="4"/>
  <c r="L134" i="4"/>
  <c r="C134" i="4"/>
  <c r="I133" i="4"/>
  <c r="O132" i="4"/>
  <c r="E132" i="4"/>
  <c r="K131" i="4"/>
  <c r="B131" i="4"/>
  <c r="H130" i="4"/>
  <c r="N129" i="4"/>
  <c r="E129" i="4"/>
  <c r="K128" i="4"/>
  <c r="A128" i="4"/>
  <c r="P128" i="4" s="1"/>
  <c r="H127" i="4"/>
  <c r="O126" i="4"/>
  <c r="G126" i="4"/>
  <c r="N125" i="4"/>
  <c r="F125" i="4"/>
  <c r="M124" i="4"/>
  <c r="E124" i="4"/>
  <c r="L123" i="4"/>
  <c r="D123" i="4"/>
  <c r="K122" i="4"/>
  <c r="C122" i="4"/>
  <c r="J121" i="4"/>
  <c r="B121" i="4"/>
  <c r="I120" i="4"/>
  <c r="A120" i="4"/>
  <c r="P120" i="4" s="1"/>
  <c r="H119" i="4"/>
  <c r="O118" i="4"/>
  <c r="G118" i="4"/>
  <c r="N117" i="4"/>
  <c r="F117" i="4"/>
  <c r="M116" i="4"/>
  <c r="E116" i="4"/>
  <c r="L115" i="4"/>
  <c r="D115" i="4"/>
  <c r="K114" i="4"/>
  <c r="C114" i="4"/>
  <c r="J113" i="4"/>
  <c r="B113" i="4"/>
  <c r="I112" i="4"/>
  <c r="A112" i="4"/>
  <c r="P112" i="4" s="1"/>
  <c r="H111" i="4"/>
  <c r="O110" i="4"/>
  <c r="G110" i="4"/>
  <c r="N109" i="4"/>
  <c r="F109" i="4"/>
  <c r="M108" i="4"/>
  <c r="E108" i="4"/>
  <c r="L107" i="4"/>
  <c r="D107" i="4"/>
  <c r="K106" i="4"/>
  <c r="C106" i="4"/>
  <c r="J105" i="4"/>
  <c r="B105" i="4"/>
  <c r="I104" i="4"/>
  <c r="A104" i="4"/>
  <c r="P104" i="4" s="1"/>
  <c r="H103" i="4"/>
  <c r="O102" i="4"/>
  <c r="G102" i="4"/>
  <c r="N101" i="4"/>
  <c r="F101" i="4"/>
  <c r="M100" i="4"/>
  <c r="E100" i="4"/>
  <c r="L99" i="4"/>
  <c r="D99" i="4"/>
  <c r="K98" i="4"/>
  <c r="C98" i="4"/>
  <c r="J97" i="4"/>
  <c r="B97" i="4"/>
  <c r="I96" i="4"/>
  <c r="A96" i="4"/>
  <c r="P96" i="4" s="1"/>
  <c r="H95" i="4"/>
  <c r="O94" i="4"/>
  <c r="G94" i="4"/>
  <c r="N93" i="4"/>
  <c r="F93" i="4"/>
  <c r="M92" i="4"/>
  <c r="E92" i="4"/>
  <c r="L91" i="4"/>
  <c r="D91" i="4"/>
  <c r="K90" i="4"/>
  <c r="C90" i="4"/>
  <c r="J89" i="4"/>
  <c r="D236" i="4"/>
  <c r="K230" i="4"/>
  <c r="L225" i="4"/>
  <c r="H220" i="4"/>
  <c r="H215" i="4"/>
  <c r="F210" i="4"/>
  <c r="I206" i="4"/>
  <c r="E203" i="4"/>
  <c r="C200" i="4"/>
  <c r="O196" i="4"/>
  <c r="N193" i="4"/>
  <c r="L190" i="4"/>
  <c r="A188" i="4"/>
  <c r="P188" i="4" s="1"/>
  <c r="K185" i="4"/>
  <c r="L183" i="4"/>
  <c r="M181" i="4"/>
  <c r="G180" i="4"/>
  <c r="K178" i="4"/>
  <c r="O176" i="4"/>
  <c r="I175" i="4"/>
  <c r="M173" i="4"/>
  <c r="B172" i="4"/>
  <c r="K170" i="4"/>
  <c r="A169" i="4"/>
  <c r="P169" i="4" s="1"/>
  <c r="M167" i="4"/>
  <c r="I166" i="4"/>
  <c r="F165" i="4"/>
  <c r="C164" i="4"/>
  <c r="O162" i="4"/>
  <c r="L161" i="4"/>
  <c r="O160" i="4"/>
  <c r="N159" i="4"/>
  <c r="M158" i="4"/>
  <c r="O157" i="4"/>
  <c r="N156" i="4"/>
  <c r="B156" i="4"/>
  <c r="B155" i="4"/>
  <c r="C154" i="4"/>
  <c r="G153" i="4"/>
  <c r="H152" i="4"/>
  <c r="L151" i="4"/>
  <c r="N150" i="4"/>
  <c r="D150" i="4"/>
  <c r="I149" i="4"/>
  <c r="L148" i="4"/>
  <c r="B148" i="4"/>
  <c r="G147" i="4"/>
  <c r="J146" i="4"/>
  <c r="O145" i="4"/>
  <c r="E145" i="4"/>
  <c r="H144" i="4"/>
  <c r="M143" i="4"/>
  <c r="D143" i="4"/>
  <c r="J142" i="4"/>
  <c r="A142" i="4"/>
  <c r="P142" i="4" s="1"/>
  <c r="F141" i="4"/>
  <c r="L140" i="4"/>
  <c r="C140" i="4"/>
  <c r="I139" i="4"/>
  <c r="O138" i="4"/>
  <c r="F138" i="4"/>
  <c r="L137" i="4"/>
  <c r="B137" i="4"/>
  <c r="H136" i="4"/>
  <c r="N135" i="4"/>
  <c r="E135" i="4"/>
  <c r="K134" i="4"/>
  <c r="B134" i="4"/>
  <c r="H133" i="4"/>
  <c r="M132" i="4"/>
  <c r="D132" i="4"/>
  <c r="J131" i="4"/>
  <c r="A131" i="4"/>
  <c r="P131" i="4" s="1"/>
  <c r="G130" i="4"/>
  <c r="M129" i="4"/>
  <c r="D129" i="4"/>
  <c r="I128" i="4"/>
  <c r="O127" i="4"/>
  <c r="G127" i="4"/>
  <c r="N235" i="4"/>
  <c r="H230" i="4"/>
  <c r="E225" i="4"/>
  <c r="E220" i="4"/>
  <c r="C215" i="4"/>
  <c r="A210" i="4"/>
  <c r="P210" i="4" s="1"/>
  <c r="F206" i="4"/>
  <c r="C203" i="4"/>
  <c r="A200" i="4"/>
  <c r="P200" i="4" s="1"/>
  <c r="M196" i="4"/>
  <c r="I193" i="4"/>
  <c r="I190" i="4"/>
  <c r="L187" i="4"/>
  <c r="C185" i="4"/>
  <c r="I183" i="4"/>
  <c r="L181" i="4"/>
  <c r="A180" i="4"/>
  <c r="P180" i="4" s="1"/>
  <c r="J178" i="4"/>
  <c r="N176" i="4"/>
  <c r="B175" i="4"/>
  <c r="L173" i="4"/>
  <c r="A172" i="4"/>
  <c r="P172" i="4" s="1"/>
  <c r="D170" i="4"/>
  <c r="O168" i="4"/>
  <c r="L167" i="4"/>
  <c r="H166" i="4"/>
  <c r="E165" i="4"/>
  <c r="B164" i="4"/>
  <c r="M162" i="4"/>
  <c r="K161" i="4"/>
  <c r="J160" i="4"/>
  <c r="M159" i="4"/>
  <c r="L158" i="4"/>
  <c r="N157" i="4"/>
  <c r="M156" i="4"/>
  <c r="L155" i="4"/>
  <c r="A155" i="4"/>
  <c r="P155" i="4" s="1"/>
  <c r="B154" i="4"/>
  <c r="F153" i="4"/>
  <c r="G152" i="4"/>
  <c r="H151" i="4"/>
  <c r="M150" i="4"/>
  <c r="C150" i="4"/>
  <c r="F149" i="4"/>
  <c r="K148" i="4"/>
  <c r="A148" i="4"/>
  <c r="P148" i="4" s="1"/>
  <c r="D147" i="4"/>
  <c r="I146" i="4"/>
  <c r="N145" i="4"/>
  <c r="B145" i="4"/>
  <c r="G144" i="4"/>
  <c r="L143" i="4"/>
  <c r="C143" i="4"/>
  <c r="I142" i="4"/>
  <c r="N141" i="4"/>
  <c r="E141" i="4"/>
  <c r="K140" i="4"/>
  <c r="B140" i="4"/>
  <c r="H139" i="4"/>
  <c r="N138" i="4"/>
  <c r="E138" i="4"/>
  <c r="J137" i="4"/>
  <c r="A137" i="4"/>
  <c r="P137" i="4" s="1"/>
  <c r="G136" i="4"/>
  <c r="M135" i="4"/>
  <c r="D135" i="4"/>
  <c r="J134" i="4"/>
  <c r="A134" i="4"/>
  <c r="P134" i="4" s="1"/>
  <c r="F133" i="4"/>
  <c r="L132" i="4"/>
  <c r="C132" i="4"/>
  <c r="I131" i="4"/>
  <c r="O130" i="4"/>
  <c r="F130" i="4"/>
  <c r="N234" i="4"/>
  <c r="H229" i="4"/>
  <c r="E224" i="4"/>
  <c r="F219" i="4"/>
  <c r="C214" i="4"/>
  <c r="C209" i="4"/>
  <c r="L205" i="4"/>
  <c r="I202" i="4"/>
  <c r="G199" i="4"/>
  <c r="D196" i="4"/>
  <c r="B193" i="4"/>
  <c r="A190" i="4"/>
  <c r="P190" i="4" s="1"/>
  <c r="D187" i="4"/>
  <c r="B185" i="4"/>
  <c r="B183" i="4"/>
  <c r="K181" i="4"/>
  <c r="N179" i="4"/>
  <c r="C178" i="4"/>
  <c r="M176" i="4"/>
  <c r="A175" i="4"/>
  <c r="P175" i="4" s="1"/>
  <c r="E173" i="4"/>
  <c r="N171" i="4"/>
  <c r="C170" i="4"/>
  <c r="N168" i="4"/>
  <c r="J167" i="4"/>
  <c r="G166" i="4"/>
  <c r="D165" i="4"/>
  <c r="A164" i="4"/>
  <c r="P164" i="4" s="1"/>
  <c r="L162" i="4"/>
  <c r="J161" i="4"/>
  <c r="I160" i="4"/>
  <c r="L159" i="4"/>
  <c r="K158" i="4"/>
  <c r="J157" i="4"/>
  <c r="L156" i="4"/>
  <c r="K155" i="4"/>
  <c r="O154" i="4"/>
  <c r="A154" i="4"/>
  <c r="P154" i="4" s="1"/>
  <c r="B153" i="4"/>
  <c r="F152" i="4"/>
  <c r="G151" i="4"/>
  <c r="L150" i="4"/>
  <c r="B150" i="4"/>
  <c r="E149" i="4"/>
  <c r="J148" i="4"/>
  <c r="O147" i="4"/>
  <c r="C147" i="4"/>
  <c r="H146" i="4"/>
  <c r="M145" i="4"/>
  <c r="A145" i="4"/>
  <c r="P145" i="4" s="1"/>
  <c r="F144" i="4"/>
  <c r="K143" i="4"/>
  <c r="B143" i="4"/>
  <c r="G142" i="4"/>
  <c r="M141" i="4"/>
  <c r="D141" i="4"/>
  <c r="J140" i="4"/>
  <c r="A140" i="4"/>
  <c r="P140" i="4" s="1"/>
  <c r="G139" i="4"/>
  <c r="M138" i="4"/>
  <c r="C138" i="4"/>
  <c r="I137" i="4"/>
  <c r="O136" i="4"/>
  <c r="F136" i="4"/>
  <c r="L135" i="4"/>
  <c r="C135" i="4"/>
  <c r="I134" i="4"/>
  <c r="N133" i="4"/>
  <c r="E133" i="4"/>
  <c r="K132" i="4"/>
  <c r="B132" i="4"/>
  <c r="H131" i="4"/>
  <c r="N130" i="4"/>
  <c r="E130" i="4"/>
  <c r="J129" i="4"/>
  <c r="A129" i="4"/>
  <c r="P129" i="4" s="1"/>
  <c r="G128" i="4"/>
  <c r="M127" i="4"/>
  <c r="E127" i="4"/>
  <c r="L126" i="4"/>
  <c r="D126" i="4"/>
  <c r="K125" i="4"/>
  <c r="C125" i="4"/>
  <c r="J124" i="4"/>
  <c r="B124" i="4"/>
  <c r="I123" i="4"/>
  <c r="A123" i="4"/>
  <c r="P123" i="4" s="1"/>
  <c r="H122" i="4"/>
  <c r="O121" i="4"/>
  <c r="G121" i="4"/>
  <c r="N120" i="4"/>
  <c r="F120" i="4"/>
  <c r="M119" i="4"/>
  <c r="E119" i="4"/>
  <c r="L118" i="4"/>
  <c r="D118" i="4"/>
  <c r="K117" i="4"/>
  <c r="C117" i="4"/>
  <c r="J116" i="4"/>
  <c r="B116" i="4"/>
  <c r="I115" i="4"/>
  <c r="A115" i="4"/>
  <c r="P115" i="4" s="1"/>
  <c r="H234" i="4"/>
  <c r="B229" i="4"/>
  <c r="C224" i="4"/>
  <c r="N218" i="4"/>
  <c r="N213" i="4"/>
  <c r="O208" i="4"/>
  <c r="J205" i="4"/>
  <c r="G202" i="4"/>
  <c r="D199" i="4"/>
  <c r="A196" i="4"/>
  <c r="P196" i="4" s="1"/>
  <c r="M192" i="4"/>
  <c r="N189" i="4"/>
  <c r="B187" i="4"/>
  <c r="A185" i="4"/>
  <c r="P185" i="4" s="1"/>
  <c r="O182" i="4"/>
  <c r="D181" i="4"/>
  <c r="M179" i="4"/>
  <c r="B178" i="4"/>
  <c r="F176" i="4"/>
  <c r="O174" i="4"/>
  <c r="D173" i="4"/>
  <c r="H171" i="4"/>
  <c r="B170" i="4"/>
  <c r="I168" i="4"/>
  <c r="F167" i="4"/>
  <c r="C166" i="4"/>
  <c r="N164" i="4"/>
  <c r="K163" i="4"/>
  <c r="H162" i="4"/>
  <c r="I161" i="4"/>
  <c r="H160" i="4"/>
  <c r="G159" i="4"/>
  <c r="I158" i="4"/>
  <c r="H157" i="4"/>
  <c r="K156" i="4"/>
  <c r="J155" i="4"/>
  <c r="K154" i="4"/>
  <c r="O153" i="4"/>
  <c r="A153" i="4"/>
  <c r="P153" i="4" s="1"/>
  <c r="E152" i="4"/>
  <c r="F151" i="4"/>
  <c r="K150" i="4"/>
  <c r="N149" i="4"/>
  <c r="D149" i="4"/>
  <c r="I148" i="4"/>
  <c r="L147" i="4"/>
  <c r="B147" i="4"/>
  <c r="G146" i="4"/>
  <c r="J145" i="4"/>
  <c r="O144" i="4"/>
  <c r="E144" i="4"/>
  <c r="J143" i="4"/>
  <c r="O142" i="4"/>
  <c r="F142" i="4"/>
  <c r="L141" i="4"/>
  <c r="C141" i="4"/>
  <c r="I140" i="4"/>
  <c r="O139" i="4"/>
  <c r="F139" i="4"/>
  <c r="K138" i="4"/>
  <c r="B138" i="4"/>
  <c r="H137" i="4"/>
  <c r="N136" i="4"/>
  <c r="E136" i="4"/>
  <c r="K135" i="4"/>
  <c r="B135" i="4"/>
  <c r="G134" i="4"/>
  <c r="M133" i="4"/>
  <c r="D133" i="4"/>
  <c r="J132" i="4"/>
  <c r="A132" i="4"/>
  <c r="P132" i="4" s="1"/>
  <c r="G131" i="4"/>
  <c r="M130" i="4"/>
  <c r="C130" i="4"/>
  <c r="I129" i="4"/>
  <c r="O128" i="4"/>
  <c r="O232" i="4"/>
  <c r="N227" i="4"/>
  <c r="M222" i="4"/>
  <c r="K217" i="4"/>
  <c r="I212" i="4"/>
  <c r="A208" i="4"/>
  <c r="P208" i="4" s="1"/>
  <c r="L204" i="4"/>
  <c r="J201" i="4"/>
  <c r="F198" i="4"/>
  <c r="D195" i="4"/>
  <c r="A192" i="4"/>
  <c r="P192" i="4" s="1"/>
  <c r="D189" i="4"/>
  <c r="G186" i="4"/>
  <c r="G184" i="4"/>
  <c r="G182" i="4"/>
  <c r="B181" i="4"/>
  <c r="E179" i="4"/>
  <c r="I177" i="4"/>
  <c r="C176" i="4"/>
  <c r="G174" i="4"/>
  <c r="K172" i="4"/>
  <c r="E171" i="4"/>
  <c r="I169" i="4"/>
  <c r="F168" i="4"/>
  <c r="B167" i="4"/>
  <c r="N165" i="4"/>
  <c r="K164" i="4"/>
  <c r="H163" i="4"/>
  <c r="D162" i="4"/>
  <c r="C161" i="4"/>
  <c r="F160" i="4"/>
  <c r="E159" i="4"/>
  <c r="D158" i="4"/>
  <c r="F157" i="4"/>
  <c r="E156" i="4"/>
  <c r="H155" i="4"/>
  <c r="I154" i="4"/>
  <c r="J153" i="4"/>
  <c r="N152" i="4"/>
  <c r="O151" i="4"/>
  <c r="D151" i="4"/>
  <c r="G150" i="4"/>
  <c r="L149" i="4"/>
  <c r="B149" i="4"/>
  <c r="E148" i="4"/>
  <c r="J147" i="4"/>
  <c r="O146" i="4"/>
  <c r="C146" i="4"/>
  <c r="H145" i="4"/>
  <c r="M144" i="4"/>
  <c r="A144" i="4"/>
  <c r="P144" i="4" s="1"/>
  <c r="G143" i="4"/>
  <c r="M142" i="4"/>
  <c r="D142" i="4"/>
  <c r="J141" i="4"/>
  <c r="A141" i="4"/>
  <c r="P141" i="4" s="1"/>
  <c r="G140" i="4"/>
  <c r="L139" i="4"/>
  <c r="C139" i="4"/>
  <c r="I138" i="4"/>
  <c r="O137" i="4"/>
  <c r="F137" i="4"/>
  <c r="L136" i="4"/>
  <c r="C136" i="4"/>
  <c r="H135" i="4"/>
  <c r="N134" i="4"/>
  <c r="E134" i="4"/>
  <c r="K133" i="4"/>
  <c r="B133" i="4"/>
  <c r="H132" i="4"/>
  <c r="N131" i="4"/>
  <c r="D131" i="4"/>
  <c r="J130" i="4"/>
  <c r="A130" i="4"/>
  <c r="P130" i="4" s="1"/>
  <c r="G129" i="4"/>
  <c r="M128" i="4"/>
  <c r="D128" i="4"/>
  <c r="J127" i="4"/>
  <c r="B127" i="4"/>
  <c r="I126" i="4"/>
  <c r="A126" i="4"/>
  <c r="P126" i="4" s="1"/>
  <c r="H125" i="4"/>
  <c r="O124" i="4"/>
  <c r="B232" i="4"/>
  <c r="J211" i="4"/>
  <c r="L197" i="4"/>
  <c r="N185" i="4"/>
  <c r="D179" i="4"/>
  <c r="J172" i="4"/>
  <c r="A167" i="4"/>
  <c r="P167" i="4" s="1"/>
  <c r="C162" i="4"/>
  <c r="C158" i="4"/>
  <c r="H154" i="4"/>
  <c r="C151" i="4"/>
  <c r="D148" i="4"/>
  <c r="G145" i="4"/>
  <c r="L142" i="4"/>
  <c r="E140" i="4"/>
  <c r="N137" i="4"/>
  <c r="G135" i="4"/>
  <c r="A133" i="4"/>
  <c r="P133" i="4" s="1"/>
  <c r="I130" i="4"/>
  <c r="L128" i="4"/>
  <c r="I127" i="4"/>
  <c r="J126" i="4"/>
  <c r="L125" i="4"/>
  <c r="N124" i="4"/>
  <c r="C124" i="4"/>
  <c r="G123" i="4"/>
  <c r="L122" i="4"/>
  <c r="A122" i="4"/>
  <c r="P122" i="4" s="1"/>
  <c r="E121" i="4"/>
  <c r="J120" i="4"/>
  <c r="N119" i="4"/>
  <c r="C119" i="4"/>
  <c r="H118" i="4"/>
  <c r="L117" i="4"/>
  <c r="A117" i="4"/>
  <c r="P117" i="4" s="1"/>
  <c r="F116" i="4"/>
  <c r="J115" i="4"/>
  <c r="N114" i="4"/>
  <c r="E114" i="4"/>
  <c r="K113" i="4"/>
  <c r="A113" i="4"/>
  <c r="P113" i="4" s="1"/>
  <c r="G112" i="4"/>
  <c r="M111" i="4"/>
  <c r="D111" i="4"/>
  <c r="J110" i="4"/>
  <c r="A110" i="4"/>
  <c r="P110" i="4" s="1"/>
  <c r="G109" i="4"/>
  <c r="L108" i="4"/>
  <c r="C108" i="4"/>
  <c r="I107" i="4"/>
  <c r="O106" i="4"/>
  <c r="F106" i="4"/>
  <c r="L105" i="4"/>
  <c r="C105" i="4"/>
  <c r="H104" i="4"/>
  <c r="N103" i="4"/>
  <c r="E103" i="4"/>
  <c r="K102" i="4"/>
  <c r="B102" i="4"/>
  <c r="H101" i="4"/>
  <c r="N100" i="4"/>
  <c r="D100" i="4"/>
  <c r="J99" i="4"/>
  <c r="A99" i="4"/>
  <c r="P99" i="4" s="1"/>
  <c r="G98" i="4"/>
  <c r="M97" i="4"/>
  <c r="D97" i="4"/>
  <c r="J96" i="4"/>
  <c r="O95" i="4"/>
  <c r="F95" i="4"/>
  <c r="L94" i="4"/>
  <c r="C94" i="4"/>
  <c r="I93" i="4"/>
  <c r="O92" i="4"/>
  <c r="F92" i="4"/>
  <c r="K91" i="4"/>
  <c r="B91" i="4"/>
  <c r="H90" i="4"/>
  <c r="N89" i="4"/>
  <c r="E89" i="4"/>
  <c r="L88" i="4"/>
  <c r="D88" i="4"/>
  <c r="K87" i="4"/>
  <c r="C87" i="4"/>
  <c r="J86" i="4"/>
  <c r="B86" i="4"/>
  <c r="I85" i="4"/>
  <c r="A85" i="4"/>
  <c r="P85" i="4" s="1"/>
  <c r="H84" i="4"/>
  <c r="O83" i="4"/>
  <c r="G83" i="4"/>
  <c r="N82" i="4"/>
  <c r="F82" i="4"/>
  <c r="M81" i="4"/>
  <c r="E81" i="4"/>
  <c r="L80" i="4"/>
  <c r="D228" i="4"/>
  <c r="C208" i="4"/>
  <c r="F195" i="4"/>
  <c r="H184" i="4"/>
  <c r="A178" i="4"/>
  <c r="P178" i="4" s="1"/>
  <c r="F171" i="4"/>
  <c r="O165" i="4"/>
  <c r="D161" i="4"/>
  <c r="G157" i="4"/>
  <c r="N153" i="4"/>
  <c r="J150" i="4"/>
  <c r="K147" i="4"/>
  <c r="N144" i="4"/>
  <c r="E142" i="4"/>
  <c r="N139" i="4"/>
  <c r="G137" i="4"/>
  <c r="O134" i="4"/>
  <c r="I132" i="4"/>
  <c r="B130" i="4"/>
  <c r="H128" i="4"/>
  <c r="F127" i="4"/>
  <c r="H126" i="4"/>
  <c r="J125" i="4"/>
  <c r="L124" i="4"/>
  <c r="A124" i="4"/>
  <c r="P124" i="4" s="1"/>
  <c r="F123" i="4"/>
  <c r="J122" i="4"/>
  <c r="N121" i="4"/>
  <c r="D121" i="4"/>
  <c r="H120" i="4"/>
  <c r="L119" i="4"/>
  <c r="B119" i="4"/>
  <c r="F118" i="4"/>
  <c r="J117" i="4"/>
  <c r="O116" i="4"/>
  <c r="D116" i="4"/>
  <c r="H115" i="4"/>
  <c r="M114" i="4"/>
  <c r="D114" i="4"/>
  <c r="I113" i="4"/>
  <c r="O112" i="4"/>
  <c r="F112" i="4"/>
  <c r="L111" i="4"/>
  <c r="C111" i="4"/>
  <c r="I110" i="4"/>
  <c r="O109" i="4"/>
  <c r="E109" i="4"/>
  <c r="K108" i="4"/>
  <c r="B108" i="4"/>
  <c r="H107" i="4"/>
  <c r="N106" i="4"/>
  <c r="E106" i="4"/>
  <c r="K105" i="4"/>
  <c r="A105" i="4"/>
  <c r="P105" i="4" s="1"/>
  <c r="G104" i="4"/>
  <c r="M103" i="4"/>
  <c r="D103" i="4"/>
  <c r="J102" i="4"/>
  <c r="A102" i="4"/>
  <c r="P102" i="4" s="1"/>
  <c r="G101" i="4"/>
  <c r="L100" i="4"/>
  <c r="C100" i="4"/>
  <c r="I99" i="4"/>
  <c r="O98" i="4"/>
  <c r="F98" i="4"/>
  <c r="L97" i="4"/>
  <c r="C97" i="4"/>
  <c r="H96" i="4"/>
  <c r="N95" i="4"/>
  <c r="E95" i="4"/>
  <c r="K94" i="4"/>
  <c r="B94" i="4"/>
  <c r="H93" i="4"/>
  <c r="N92" i="4"/>
  <c r="D92" i="4"/>
  <c r="J91" i="4"/>
  <c r="A91" i="4"/>
  <c r="P91" i="4" s="1"/>
  <c r="G90" i="4"/>
  <c r="M89" i="4"/>
  <c r="D89" i="4"/>
  <c r="K88" i="4"/>
  <c r="C88" i="4"/>
  <c r="J87" i="4"/>
  <c r="B87" i="4"/>
  <c r="I86" i="4"/>
  <c r="A86" i="4"/>
  <c r="P86" i="4" s="1"/>
  <c r="H85" i="4"/>
  <c r="O84" i="4"/>
  <c r="G84" i="4"/>
  <c r="N83" i="4"/>
  <c r="F83" i="4"/>
  <c r="M82" i="4"/>
  <c r="E82" i="4"/>
  <c r="L81" i="4"/>
  <c r="D81" i="4"/>
  <c r="K80" i="4"/>
  <c r="C80" i="4"/>
  <c r="J79" i="4"/>
  <c r="B79" i="4"/>
  <c r="I78" i="4"/>
  <c r="A78" i="4"/>
  <c r="P78" i="4" s="1"/>
  <c r="H77" i="4"/>
  <c r="O76" i="4"/>
  <c r="G76" i="4"/>
  <c r="N75" i="4"/>
  <c r="F75" i="4"/>
  <c r="M74" i="4"/>
  <c r="E74" i="4"/>
  <c r="L73" i="4"/>
  <c r="D73" i="4"/>
  <c r="K72" i="4"/>
  <c r="C72" i="4"/>
  <c r="J71" i="4"/>
  <c r="B71" i="4"/>
  <c r="I70" i="4"/>
  <c r="A70" i="4"/>
  <c r="P70" i="4" s="1"/>
  <c r="H69" i="4"/>
  <c r="O68" i="4"/>
  <c r="G68" i="4"/>
  <c r="N67" i="4"/>
  <c r="F67" i="4"/>
  <c r="M66" i="4"/>
  <c r="E66" i="4"/>
  <c r="L65" i="4"/>
  <c r="D65" i="4"/>
  <c r="K64" i="4"/>
  <c r="C64" i="4"/>
  <c r="J63" i="4"/>
  <c r="B63" i="4"/>
  <c r="I62" i="4"/>
  <c r="A62" i="4"/>
  <c r="P62" i="4" s="1"/>
  <c r="H61" i="4"/>
  <c r="O60" i="4"/>
  <c r="G60" i="4"/>
  <c r="N59" i="4"/>
  <c r="F59" i="4"/>
  <c r="M58" i="4"/>
  <c r="E58" i="4"/>
  <c r="L57" i="4"/>
  <c r="D57" i="4"/>
  <c r="K56" i="4"/>
  <c r="C56" i="4"/>
  <c r="J55" i="4"/>
  <c r="B55" i="4"/>
  <c r="I54" i="4"/>
  <c r="A54" i="4"/>
  <c r="P54" i="4" s="1"/>
  <c r="H53" i="4"/>
  <c r="O52" i="4"/>
  <c r="G52" i="4"/>
  <c r="N51" i="4"/>
  <c r="F51" i="4"/>
  <c r="M50" i="4"/>
  <c r="E50" i="4"/>
  <c r="L49" i="4"/>
  <c r="D49" i="4"/>
  <c r="K48" i="4"/>
  <c r="C48" i="4"/>
  <c r="J47" i="4"/>
  <c r="B47" i="4"/>
  <c r="I46" i="4"/>
  <c r="A46" i="4"/>
  <c r="P46" i="4" s="1"/>
  <c r="H45" i="4"/>
  <c r="O44" i="4"/>
  <c r="G44" i="4"/>
  <c r="N43" i="4"/>
  <c r="F43" i="4"/>
  <c r="M42" i="4"/>
  <c r="E42" i="4"/>
  <c r="L41" i="4"/>
  <c r="D41" i="4"/>
  <c r="O226" i="4"/>
  <c r="F207" i="4"/>
  <c r="J194" i="4"/>
  <c r="F184" i="4"/>
  <c r="H177" i="4"/>
  <c r="M170" i="4"/>
  <c r="M165" i="4"/>
  <c r="B161" i="4"/>
  <c r="E157" i="4"/>
  <c r="I153" i="4"/>
  <c r="F150" i="4"/>
  <c r="I147" i="4"/>
  <c r="L144" i="4"/>
  <c r="C142" i="4"/>
  <c r="K139" i="4"/>
  <c r="E137" i="4"/>
  <c r="M134" i="4"/>
  <c r="G132" i="4"/>
  <c r="O129" i="4"/>
  <c r="F128" i="4"/>
  <c r="D127" i="4"/>
  <c r="F126" i="4"/>
  <c r="I125" i="4"/>
  <c r="K124" i="4"/>
  <c r="O123" i="4"/>
  <c r="E123" i="4"/>
  <c r="I122" i="4"/>
  <c r="M121" i="4"/>
  <c r="C121" i="4"/>
  <c r="G120" i="4"/>
  <c r="K119" i="4"/>
  <c r="A119" i="4"/>
  <c r="P119" i="4" s="1"/>
  <c r="E118" i="4"/>
  <c r="I117" i="4"/>
  <c r="N116" i="4"/>
  <c r="C116" i="4"/>
  <c r="G115" i="4"/>
  <c r="L114" i="4"/>
  <c r="B114" i="4"/>
  <c r="H113" i="4"/>
  <c r="N112" i="4"/>
  <c r="E112" i="4"/>
  <c r="K111" i="4"/>
  <c r="B111" i="4"/>
  <c r="H110" i="4"/>
  <c r="M109" i="4"/>
  <c r="D109" i="4"/>
  <c r="J108" i="4"/>
  <c r="A108" i="4"/>
  <c r="P108" i="4" s="1"/>
  <c r="G107" i="4"/>
  <c r="M106" i="4"/>
  <c r="D106" i="4"/>
  <c r="I105" i="4"/>
  <c r="O104" i="4"/>
  <c r="F104" i="4"/>
  <c r="L103" i="4"/>
  <c r="C103" i="4"/>
  <c r="I102" i="4"/>
  <c r="O101" i="4"/>
  <c r="E101" i="4"/>
  <c r="K100" i="4"/>
  <c r="B100" i="4"/>
  <c r="H99" i="4"/>
  <c r="N98" i="4"/>
  <c r="E98" i="4"/>
  <c r="K97" i="4"/>
  <c r="A97" i="4"/>
  <c r="P97" i="4" s="1"/>
  <c r="G96" i="4"/>
  <c r="M95" i="4"/>
  <c r="D95" i="4"/>
  <c r="J94" i="4"/>
  <c r="A94" i="4"/>
  <c r="P94" i="4" s="1"/>
  <c r="G93" i="4"/>
  <c r="L92" i="4"/>
  <c r="C92" i="4"/>
  <c r="I91" i="4"/>
  <c r="O90" i="4"/>
  <c r="F90" i="4"/>
  <c r="L89" i="4"/>
  <c r="C89" i="4"/>
  <c r="J88" i="4"/>
  <c r="B88" i="4"/>
  <c r="I87" i="4"/>
  <c r="A87" i="4"/>
  <c r="P87" i="4" s="1"/>
  <c r="H86" i="4"/>
  <c r="O85" i="4"/>
  <c r="G85" i="4"/>
  <c r="N84" i="4"/>
  <c r="F84" i="4"/>
  <c r="M83" i="4"/>
  <c r="E83" i="4"/>
  <c r="L82" i="4"/>
  <c r="D82" i="4"/>
  <c r="K81" i="4"/>
  <c r="C81" i="4"/>
  <c r="J80" i="4"/>
  <c r="B80" i="4"/>
  <c r="I79" i="4"/>
  <c r="A79" i="4"/>
  <c r="P79" i="4" s="1"/>
  <c r="H78" i="4"/>
  <c r="B223" i="4"/>
  <c r="O204" i="4"/>
  <c r="C192" i="4"/>
  <c r="N182" i="4"/>
  <c r="E176" i="4"/>
  <c r="J169" i="4"/>
  <c r="L164" i="4"/>
  <c r="G160" i="4"/>
  <c r="F156" i="4"/>
  <c r="O152" i="4"/>
  <c r="M149" i="4"/>
  <c r="A147" i="4"/>
  <c r="P147" i="4" s="1"/>
  <c r="D144" i="4"/>
  <c r="K141" i="4"/>
  <c r="D139" i="4"/>
  <c r="M136" i="4"/>
  <c r="F134" i="4"/>
  <c r="O131" i="4"/>
  <c r="L129" i="4"/>
  <c r="E128" i="4"/>
  <c r="C127" i="4"/>
  <c r="E126" i="4"/>
  <c r="G125" i="4"/>
  <c r="I124" i="4"/>
  <c r="N123" i="4"/>
  <c r="C123" i="4"/>
  <c r="G122" i="4"/>
  <c r="L121" i="4"/>
  <c r="A121" i="4"/>
  <c r="P121" i="4" s="1"/>
  <c r="E120" i="4"/>
  <c r="J119" i="4"/>
  <c r="N118" i="4"/>
  <c r="C118" i="4"/>
  <c r="H117" i="4"/>
  <c r="L116" i="4"/>
  <c r="A116" i="4"/>
  <c r="P116" i="4" s="1"/>
  <c r="F115" i="4"/>
  <c r="J114" i="4"/>
  <c r="A114" i="4"/>
  <c r="P114" i="4" s="1"/>
  <c r="G113" i="4"/>
  <c r="M112" i="4"/>
  <c r="D112" i="4"/>
  <c r="J111" i="4"/>
  <c r="A111" i="4"/>
  <c r="P111" i="4" s="1"/>
  <c r="F110" i="4"/>
  <c r="L109" i="4"/>
  <c r="C109" i="4"/>
  <c r="I108" i="4"/>
  <c r="O107" i="4"/>
  <c r="F107" i="4"/>
  <c r="L106" i="4"/>
  <c r="B106" i="4"/>
  <c r="H105" i="4"/>
  <c r="N104" i="4"/>
  <c r="E104" i="4"/>
  <c r="K103" i="4"/>
  <c r="B103" i="4"/>
  <c r="H102" i="4"/>
  <c r="M101" i="4"/>
  <c r="D101" i="4"/>
  <c r="J100" i="4"/>
  <c r="A100" i="4"/>
  <c r="P100" i="4" s="1"/>
  <c r="G99" i="4"/>
  <c r="M221" i="4"/>
  <c r="D204" i="4"/>
  <c r="G191" i="4"/>
  <c r="F182" i="4"/>
  <c r="L175" i="4"/>
  <c r="H169" i="4"/>
  <c r="J164" i="4"/>
  <c r="A160" i="4"/>
  <c r="P160" i="4" s="1"/>
  <c r="D156" i="4"/>
  <c r="M152" i="4"/>
  <c r="K149" i="4"/>
  <c r="N146" i="4"/>
  <c r="O143" i="4"/>
  <c r="I141" i="4"/>
  <c r="B139" i="4"/>
  <c r="K136" i="4"/>
  <c r="D134" i="4"/>
  <c r="L131" i="4"/>
  <c r="H129" i="4"/>
  <c r="C128" i="4"/>
  <c r="A127" i="4"/>
  <c r="P127" i="4" s="1"/>
  <c r="C126" i="4"/>
  <c r="E125" i="4"/>
  <c r="H124" i="4"/>
  <c r="M123" i="4"/>
  <c r="B123" i="4"/>
  <c r="F122" i="4"/>
  <c r="K121" i="4"/>
  <c r="O120" i="4"/>
  <c r="D120" i="4"/>
  <c r="I119" i="4"/>
  <c r="M118" i="4"/>
  <c r="B118" i="4"/>
  <c r="G117" i="4"/>
  <c r="K116" i="4"/>
  <c r="A218" i="4"/>
  <c r="P218" i="4" s="1"/>
  <c r="L201" i="4"/>
  <c r="F189" i="4"/>
  <c r="C181" i="4"/>
  <c r="H174" i="4"/>
  <c r="G168" i="4"/>
  <c r="I163" i="4"/>
  <c r="F159" i="4"/>
  <c r="I155" i="4"/>
  <c r="A152" i="4"/>
  <c r="P152" i="4" s="1"/>
  <c r="C149" i="4"/>
  <c r="F146" i="4"/>
  <c r="H143" i="4"/>
  <c r="B141" i="4"/>
  <c r="J138" i="4"/>
  <c r="D136" i="4"/>
  <c r="L133" i="4"/>
  <c r="F131" i="4"/>
  <c r="F129" i="4"/>
  <c r="N127" i="4"/>
  <c r="N126" i="4"/>
  <c r="B126" i="4"/>
  <c r="D125" i="4"/>
  <c r="G124" i="4"/>
  <c r="K123" i="4"/>
  <c r="O122" i="4"/>
  <c r="E122" i="4"/>
  <c r="I121" i="4"/>
  <c r="M120" i="4"/>
  <c r="J237" i="4"/>
  <c r="L216" i="4"/>
  <c r="A201" i="4"/>
  <c r="P201" i="4" s="1"/>
  <c r="K188" i="4"/>
  <c r="J180" i="4"/>
  <c r="F174" i="4"/>
  <c r="E168" i="4"/>
  <c r="F163" i="4"/>
  <c r="D159" i="4"/>
  <c r="D155" i="4"/>
  <c r="N151" i="4"/>
  <c r="A149" i="4"/>
  <c r="P149" i="4" s="1"/>
  <c r="B146" i="4"/>
  <c r="F143" i="4"/>
  <c r="O140" i="4"/>
  <c r="H138" i="4"/>
  <c r="A136" i="4"/>
  <c r="P136" i="4" s="1"/>
  <c r="J133" i="4"/>
  <c r="C131" i="4"/>
  <c r="B129" i="4"/>
  <c r="L127" i="4"/>
  <c r="M126" i="4"/>
  <c r="O125" i="4"/>
  <c r="B125" i="4"/>
  <c r="F124" i="4"/>
  <c r="J123" i="4"/>
  <c r="N122" i="4"/>
  <c r="D122" i="4"/>
  <c r="H121" i="4"/>
  <c r="L120" i="4"/>
  <c r="B120" i="4"/>
  <c r="F119" i="4"/>
  <c r="J118" i="4"/>
  <c r="O117" i="4"/>
  <c r="D117" i="4"/>
  <c r="H116" i="4"/>
  <c r="M115" i="4"/>
  <c r="B115" i="4"/>
  <c r="G114" i="4"/>
  <c r="M113" i="4"/>
  <c r="D113" i="4"/>
  <c r="J112" i="4"/>
  <c r="O111" i="4"/>
  <c r="F111" i="4"/>
  <c r="L110" i="4"/>
  <c r="C110" i="4"/>
  <c r="I109" i="4"/>
  <c r="O108" i="4"/>
  <c r="F108" i="4"/>
  <c r="K107" i="4"/>
  <c r="B107" i="4"/>
  <c r="H106" i="4"/>
  <c r="N105" i="4"/>
  <c r="E105" i="4"/>
  <c r="K104" i="4"/>
  <c r="B104" i="4"/>
  <c r="G103" i="4"/>
  <c r="M102" i="4"/>
  <c r="D102" i="4"/>
  <c r="J101" i="4"/>
  <c r="A101" i="4"/>
  <c r="P101" i="4" s="1"/>
  <c r="G100" i="4"/>
  <c r="M99" i="4"/>
  <c r="C99" i="4"/>
  <c r="I98" i="4"/>
  <c r="O97" i="4"/>
  <c r="F97" i="4"/>
  <c r="L96" i="4"/>
  <c r="C96" i="4"/>
  <c r="I95" i="4"/>
  <c r="N94" i="4"/>
  <c r="E94" i="4"/>
  <c r="K93" i="4"/>
  <c r="B93" i="4"/>
  <c r="H92" i="4"/>
  <c r="N91" i="4"/>
  <c r="E91" i="4"/>
  <c r="J90" i="4"/>
  <c r="A90" i="4"/>
  <c r="P90" i="4" s="1"/>
  <c r="G89" i="4"/>
  <c r="N88" i="4"/>
  <c r="F88" i="4"/>
  <c r="M87" i="4"/>
  <c r="E87" i="4"/>
  <c r="L86" i="4"/>
  <c r="D86" i="4"/>
  <c r="K85" i="4"/>
  <c r="C85" i="4"/>
  <c r="J84" i="4"/>
  <c r="B84" i="4"/>
  <c r="C173" i="4"/>
  <c r="N142" i="4"/>
  <c r="K126" i="4"/>
  <c r="K120" i="4"/>
  <c r="M117" i="4"/>
  <c r="E115" i="4"/>
  <c r="L113" i="4"/>
  <c r="B112" i="4"/>
  <c r="E110" i="4"/>
  <c r="N108" i="4"/>
  <c r="C107" i="4"/>
  <c r="G105" i="4"/>
  <c r="O103" i="4"/>
  <c r="E102" i="4"/>
  <c r="I100" i="4"/>
  <c r="B99" i="4"/>
  <c r="N97" i="4"/>
  <c r="K96" i="4"/>
  <c r="G95" i="4"/>
  <c r="D94" i="4"/>
  <c r="A93" i="4"/>
  <c r="P93" i="4" s="1"/>
  <c r="M91" i="4"/>
  <c r="I90" i="4"/>
  <c r="F89" i="4"/>
  <c r="E88" i="4"/>
  <c r="D87" i="4"/>
  <c r="C86" i="4"/>
  <c r="B85" i="4"/>
  <c r="A84" i="4"/>
  <c r="P84" i="4" s="1"/>
  <c r="B83" i="4"/>
  <c r="C82" i="4"/>
  <c r="G81" i="4"/>
  <c r="H80" i="4"/>
  <c r="M79" i="4"/>
  <c r="C79" i="4"/>
  <c r="F78" i="4"/>
  <c r="L77" i="4"/>
  <c r="C77" i="4"/>
  <c r="I76" i="4"/>
  <c r="O75" i="4"/>
  <c r="E75" i="4"/>
  <c r="K74" i="4"/>
  <c r="B74" i="4"/>
  <c r="H73" i="4"/>
  <c r="N72" i="4"/>
  <c r="E72" i="4"/>
  <c r="K71" i="4"/>
  <c r="A71" i="4"/>
  <c r="P71" i="4" s="1"/>
  <c r="G70" i="4"/>
  <c r="M69" i="4"/>
  <c r="D69" i="4"/>
  <c r="J68" i="4"/>
  <c r="A68" i="4"/>
  <c r="P68" i="4" s="1"/>
  <c r="G67" i="4"/>
  <c r="L66" i="4"/>
  <c r="C66" i="4"/>
  <c r="I65" i="4"/>
  <c r="O64" i="4"/>
  <c r="F64" i="4"/>
  <c r="L63" i="4"/>
  <c r="C63" i="4"/>
  <c r="H62" i="4"/>
  <c r="N61" i="4"/>
  <c r="E61" i="4"/>
  <c r="K60" i="4"/>
  <c r="B60" i="4"/>
  <c r="H59" i="4"/>
  <c r="N58" i="4"/>
  <c r="D58" i="4"/>
  <c r="J57" i="4"/>
  <c r="A57" i="4"/>
  <c r="P57" i="4" s="1"/>
  <c r="G56" i="4"/>
  <c r="M55" i="4"/>
  <c r="D55" i="4"/>
  <c r="J54" i="4"/>
  <c r="O53" i="4"/>
  <c r="F53" i="4"/>
  <c r="L52" i="4"/>
  <c r="C52" i="4"/>
  <c r="I51" i="4"/>
  <c r="O50" i="4"/>
  <c r="F50" i="4"/>
  <c r="K49" i="4"/>
  <c r="B49" i="4"/>
  <c r="H48" i="4"/>
  <c r="N47" i="4"/>
  <c r="E47" i="4"/>
  <c r="K46" i="4"/>
  <c r="B46" i="4"/>
  <c r="G45" i="4"/>
  <c r="M44" i="4"/>
  <c r="D44" i="4"/>
  <c r="J43" i="4"/>
  <c r="A43" i="4"/>
  <c r="P43" i="4" s="1"/>
  <c r="G42" i="4"/>
  <c r="M41" i="4"/>
  <c r="C41" i="4"/>
  <c r="J40" i="4"/>
  <c r="B40" i="4"/>
  <c r="I39" i="4"/>
  <c r="A39" i="4"/>
  <c r="P39" i="4" s="1"/>
  <c r="H38" i="4"/>
  <c r="O37" i="4"/>
  <c r="G37" i="4"/>
  <c r="N36" i="4"/>
  <c r="F36" i="4"/>
  <c r="M35" i="4"/>
  <c r="E35" i="4"/>
  <c r="L34" i="4"/>
  <c r="D34" i="4"/>
  <c r="K33" i="4"/>
  <c r="C33" i="4"/>
  <c r="J32" i="4"/>
  <c r="B32" i="4"/>
  <c r="I31" i="4"/>
  <c r="A31" i="4"/>
  <c r="P31" i="4" s="1"/>
  <c r="H30" i="4"/>
  <c r="O29" i="4"/>
  <c r="G29" i="4"/>
  <c r="N28" i="4"/>
  <c r="F28" i="4"/>
  <c r="M27" i="4"/>
  <c r="E27" i="4"/>
  <c r="L26" i="4"/>
  <c r="D26" i="4"/>
  <c r="K25" i="4"/>
  <c r="C25" i="4"/>
  <c r="J24" i="4"/>
  <c r="B24" i="4"/>
  <c r="I23" i="4"/>
  <c r="A23" i="4"/>
  <c r="P23" i="4" s="1"/>
  <c r="H22" i="4"/>
  <c r="O21" i="4"/>
  <c r="G21" i="4"/>
  <c r="N20" i="4"/>
  <c r="F20" i="4"/>
  <c r="M19" i="4"/>
  <c r="E19" i="4"/>
  <c r="L18" i="4"/>
  <c r="D18" i="4"/>
  <c r="K17" i="4"/>
  <c r="C17" i="4"/>
  <c r="J16" i="4"/>
  <c r="B16" i="4"/>
  <c r="I15" i="4"/>
  <c r="A15" i="4"/>
  <c r="P15" i="4" s="1"/>
  <c r="H14" i="4"/>
  <c r="O13" i="4"/>
  <c r="G13" i="4"/>
  <c r="N12" i="4"/>
  <c r="F12" i="4"/>
  <c r="M11" i="4"/>
  <c r="E11" i="4"/>
  <c r="L10" i="4"/>
  <c r="D10" i="4"/>
  <c r="K9" i="4"/>
  <c r="C9" i="4"/>
  <c r="J8" i="4"/>
  <c r="B8" i="4"/>
  <c r="I7" i="4"/>
  <c r="A7" i="4"/>
  <c r="P7" i="4" s="1"/>
  <c r="H6" i="4"/>
  <c r="O5" i="4"/>
  <c r="G5" i="4"/>
  <c r="N4" i="4"/>
  <c r="F4" i="4"/>
  <c r="M3" i="4"/>
  <c r="E3" i="4"/>
  <c r="L2" i="4"/>
  <c r="D2" i="4"/>
  <c r="D167" i="4"/>
  <c r="H140" i="4"/>
  <c r="M125" i="4"/>
  <c r="C120" i="4"/>
  <c r="E117" i="4"/>
  <c r="C115" i="4"/>
  <c r="F113" i="4"/>
  <c r="N111" i="4"/>
  <c r="D110" i="4"/>
  <c r="H108" i="4"/>
  <c r="A107" i="4"/>
  <c r="P107" i="4" s="1"/>
  <c r="F105" i="4"/>
  <c r="J103" i="4"/>
  <c r="C102" i="4"/>
  <c r="H100" i="4"/>
  <c r="M98" i="4"/>
  <c r="I97" i="4"/>
  <c r="F96" i="4"/>
  <c r="C95" i="4"/>
  <c r="O93" i="4"/>
  <c r="K92" i="4"/>
  <c r="H91" i="4"/>
  <c r="E90" i="4"/>
  <c r="B89" i="4"/>
  <c r="A88" i="4"/>
  <c r="P88" i="4" s="1"/>
  <c r="O86" i="4"/>
  <c r="N85" i="4"/>
  <c r="M84" i="4"/>
  <c r="L83" i="4"/>
  <c r="A83" i="4"/>
  <c r="P83" i="4" s="1"/>
  <c r="B82" i="4"/>
  <c r="F81" i="4"/>
  <c r="G80" i="4"/>
  <c r="L79" i="4"/>
  <c r="O78" i="4"/>
  <c r="E78" i="4"/>
  <c r="K77" i="4"/>
  <c r="B77" i="4"/>
  <c r="H76" i="4"/>
  <c r="M75" i="4"/>
  <c r="D75" i="4"/>
  <c r="J74" i="4"/>
  <c r="A74" i="4"/>
  <c r="P74" i="4" s="1"/>
  <c r="G73" i="4"/>
  <c r="M72" i="4"/>
  <c r="D72" i="4"/>
  <c r="I71" i="4"/>
  <c r="O70" i="4"/>
  <c r="F70" i="4"/>
  <c r="L69" i="4"/>
  <c r="C69" i="4"/>
  <c r="I68" i="4"/>
  <c r="O67" i="4"/>
  <c r="E67" i="4"/>
  <c r="K66" i="4"/>
  <c r="B66" i="4"/>
  <c r="H65" i="4"/>
  <c r="N64" i="4"/>
  <c r="E64" i="4"/>
  <c r="K63" i="4"/>
  <c r="A63" i="4"/>
  <c r="P63" i="4" s="1"/>
  <c r="G62" i="4"/>
  <c r="M61" i="4"/>
  <c r="D61" i="4"/>
  <c r="J60" i="4"/>
  <c r="A60" i="4"/>
  <c r="P60" i="4" s="1"/>
  <c r="G59" i="4"/>
  <c r="L58" i="4"/>
  <c r="C58" i="4"/>
  <c r="I57" i="4"/>
  <c r="O56" i="4"/>
  <c r="F56" i="4"/>
  <c r="L55" i="4"/>
  <c r="C55" i="4"/>
  <c r="H54" i="4"/>
  <c r="N53" i="4"/>
  <c r="E53" i="4"/>
  <c r="K52" i="4"/>
  <c r="B52" i="4"/>
  <c r="H51" i="4"/>
  <c r="N50" i="4"/>
  <c r="D50" i="4"/>
  <c r="J49" i="4"/>
  <c r="A49" i="4"/>
  <c r="P49" i="4" s="1"/>
  <c r="G48" i="4"/>
  <c r="M47" i="4"/>
  <c r="D47" i="4"/>
  <c r="J46" i="4"/>
  <c r="O45" i="4"/>
  <c r="F45" i="4"/>
  <c r="L44" i="4"/>
  <c r="C44" i="4"/>
  <c r="I43" i="4"/>
  <c r="O42" i="4"/>
  <c r="F42" i="4"/>
  <c r="K41" i="4"/>
  <c r="B41" i="4"/>
  <c r="I40" i="4"/>
  <c r="A40" i="4"/>
  <c r="P40" i="4" s="1"/>
  <c r="H39" i="4"/>
  <c r="O38" i="4"/>
  <c r="G38" i="4"/>
  <c r="N37" i="4"/>
  <c r="F37" i="4"/>
  <c r="M36" i="4"/>
  <c r="E36" i="4"/>
  <c r="L35" i="4"/>
  <c r="D35" i="4"/>
  <c r="K34" i="4"/>
  <c r="C34" i="4"/>
  <c r="J33" i="4"/>
  <c r="B33" i="4"/>
  <c r="I32" i="4"/>
  <c r="A32" i="4"/>
  <c r="P32" i="4" s="1"/>
  <c r="H31" i="4"/>
  <c r="O30" i="4"/>
  <c r="G30" i="4"/>
  <c r="N29" i="4"/>
  <c r="F29" i="4"/>
  <c r="M28" i="4"/>
  <c r="E28" i="4"/>
  <c r="L27" i="4"/>
  <c r="D27" i="4"/>
  <c r="K26" i="4"/>
  <c r="C26" i="4"/>
  <c r="J25" i="4"/>
  <c r="B25" i="4"/>
  <c r="I24" i="4"/>
  <c r="A24" i="4"/>
  <c r="P24" i="4" s="1"/>
  <c r="H23" i="4"/>
  <c r="O22" i="4"/>
  <c r="G22" i="4"/>
  <c r="N21" i="4"/>
  <c r="F21" i="4"/>
  <c r="M20" i="4"/>
  <c r="E20" i="4"/>
  <c r="L19" i="4"/>
  <c r="D19" i="4"/>
  <c r="K18" i="4"/>
  <c r="C18" i="4"/>
  <c r="J17" i="4"/>
  <c r="B17" i="4"/>
  <c r="I16" i="4"/>
  <c r="A16" i="4"/>
  <c r="P16" i="4" s="1"/>
  <c r="H15" i="4"/>
  <c r="O14" i="4"/>
  <c r="G14" i="4"/>
  <c r="N13" i="4"/>
  <c r="F13" i="4"/>
  <c r="M12" i="4"/>
  <c r="E12" i="4"/>
  <c r="L11" i="4"/>
  <c r="D11" i="4"/>
  <c r="K10" i="4"/>
  <c r="C10" i="4"/>
  <c r="J9" i="4"/>
  <c r="B9" i="4"/>
  <c r="I8" i="4"/>
  <c r="A8" i="4"/>
  <c r="P8" i="4" s="1"/>
  <c r="H7" i="4"/>
  <c r="O6" i="4"/>
  <c r="G6" i="4"/>
  <c r="N5" i="4"/>
  <c r="F5" i="4"/>
  <c r="M4" i="4"/>
  <c r="E4" i="4"/>
  <c r="E162" i="4"/>
  <c r="A138" i="4"/>
  <c r="P138" i="4" s="1"/>
  <c r="A125" i="4"/>
  <c r="P125" i="4" s="1"/>
  <c r="O119" i="4"/>
  <c r="B117" i="4"/>
  <c r="O114" i="4"/>
  <c r="E113" i="4"/>
  <c r="I111" i="4"/>
  <c r="B110" i="4"/>
  <c r="G108" i="4"/>
  <c r="J106" i="4"/>
  <c r="D105" i="4"/>
  <c r="I103" i="4"/>
  <c r="L101" i="4"/>
  <c r="F100" i="4"/>
  <c r="L98" i="4"/>
  <c r="H97" i="4"/>
  <c r="E96" i="4"/>
  <c r="B95" i="4"/>
  <c r="M93" i="4"/>
  <c r="J92" i="4"/>
  <c r="G91" i="4"/>
  <c r="D90" i="4"/>
  <c r="A89" i="4"/>
  <c r="P89" i="4" s="1"/>
  <c r="O87" i="4"/>
  <c r="N86" i="4"/>
  <c r="M85" i="4"/>
  <c r="L84" i="4"/>
  <c r="K83" i="4"/>
  <c r="O82" i="4"/>
  <c r="A82" i="4"/>
  <c r="P82" i="4" s="1"/>
  <c r="B81" i="4"/>
  <c r="F80" i="4"/>
  <c r="K79" i="4"/>
  <c r="N78" i="4"/>
  <c r="D78" i="4"/>
  <c r="J77" i="4"/>
  <c r="A77" i="4"/>
  <c r="P77" i="4" s="1"/>
  <c r="F76" i="4"/>
  <c r="L75" i="4"/>
  <c r="C75" i="4"/>
  <c r="I74" i="4"/>
  <c r="O73" i="4"/>
  <c r="F73" i="4"/>
  <c r="L72" i="4"/>
  <c r="B72" i="4"/>
  <c r="H71" i="4"/>
  <c r="N70" i="4"/>
  <c r="E70" i="4"/>
  <c r="K69" i="4"/>
  <c r="B69" i="4"/>
  <c r="H68" i="4"/>
  <c r="M67" i="4"/>
  <c r="D67" i="4"/>
  <c r="J66" i="4"/>
  <c r="A66" i="4"/>
  <c r="P66" i="4" s="1"/>
  <c r="G65" i="4"/>
  <c r="M64" i="4"/>
  <c r="D64" i="4"/>
  <c r="I63" i="4"/>
  <c r="O62" i="4"/>
  <c r="F62" i="4"/>
  <c r="L61" i="4"/>
  <c r="C61" i="4"/>
  <c r="I60" i="4"/>
  <c r="O59" i="4"/>
  <c r="E59" i="4"/>
  <c r="K58" i="4"/>
  <c r="B58" i="4"/>
  <c r="H57" i="4"/>
  <c r="N56" i="4"/>
  <c r="E56" i="4"/>
  <c r="K55" i="4"/>
  <c r="A55" i="4"/>
  <c r="P55" i="4" s="1"/>
  <c r="G54" i="4"/>
  <c r="M53" i="4"/>
  <c r="D53" i="4"/>
  <c r="J52" i="4"/>
  <c r="A52" i="4"/>
  <c r="P52" i="4" s="1"/>
  <c r="G51" i="4"/>
  <c r="L50" i="4"/>
  <c r="C50" i="4"/>
  <c r="I49" i="4"/>
  <c r="O48" i="4"/>
  <c r="F48" i="4"/>
  <c r="L47" i="4"/>
  <c r="C47" i="4"/>
  <c r="H46" i="4"/>
  <c r="N45" i="4"/>
  <c r="E45" i="4"/>
  <c r="K44" i="4"/>
  <c r="B44" i="4"/>
  <c r="H43" i="4"/>
  <c r="N42" i="4"/>
  <c r="D42" i="4"/>
  <c r="J41" i="4"/>
  <c r="A41" i="4"/>
  <c r="P41" i="4" s="1"/>
  <c r="H40" i="4"/>
  <c r="O39" i="4"/>
  <c r="G39" i="4"/>
  <c r="N38" i="4"/>
  <c r="F38" i="4"/>
  <c r="M37" i="4"/>
  <c r="E37" i="4"/>
  <c r="L36" i="4"/>
  <c r="D36" i="4"/>
  <c r="K35" i="4"/>
  <c r="C35" i="4"/>
  <c r="J34" i="4"/>
  <c r="B34" i="4"/>
  <c r="I33" i="4"/>
  <c r="A33" i="4"/>
  <c r="P33" i="4" s="1"/>
  <c r="H32" i="4"/>
  <c r="O31" i="4"/>
  <c r="G31" i="4"/>
  <c r="N30" i="4"/>
  <c r="F30" i="4"/>
  <c r="M29" i="4"/>
  <c r="E29" i="4"/>
  <c r="L28" i="4"/>
  <c r="D28" i="4"/>
  <c r="K27" i="4"/>
  <c r="C27" i="4"/>
  <c r="J26" i="4"/>
  <c r="B26" i="4"/>
  <c r="I25" i="4"/>
  <c r="A25" i="4"/>
  <c r="P25" i="4" s="1"/>
  <c r="H24" i="4"/>
  <c r="O23" i="4"/>
  <c r="G23" i="4"/>
  <c r="N22" i="4"/>
  <c r="F22" i="4"/>
  <c r="M21" i="4"/>
  <c r="E21" i="4"/>
  <c r="L20" i="4"/>
  <c r="D20" i="4"/>
  <c r="K19" i="4"/>
  <c r="C19" i="4"/>
  <c r="J18" i="4"/>
  <c r="F233" i="4"/>
  <c r="H158" i="4"/>
  <c r="J135" i="4"/>
  <c r="D124" i="4"/>
  <c r="G119" i="4"/>
  <c r="I116" i="4"/>
  <c r="I114" i="4"/>
  <c r="C113" i="4"/>
  <c r="G111" i="4"/>
  <c r="K109" i="4"/>
  <c r="D108" i="4"/>
  <c r="I106" i="4"/>
  <c r="M104" i="4"/>
  <c r="F103" i="4"/>
  <c r="K101" i="4"/>
  <c r="O99" i="4"/>
  <c r="J98" i="4"/>
  <c r="G97" i="4"/>
  <c r="D96" i="4"/>
  <c r="A95" i="4"/>
  <c r="P95" i="4" s="1"/>
  <c r="L93" i="4"/>
  <c r="I92" i="4"/>
  <c r="F91" i="4"/>
  <c r="B90" i="4"/>
  <c r="O88" i="4"/>
  <c r="N87" i="4"/>
  <c r="M86" i="4"/>
  <c r="L85" i="4"/>
  <c r="K84" i="4"/>
  <c r="J83" i="4"/>
  <c r="K82" i="4"/>
  <c r="O81" i="4"/>
  <c r="A81" i="4"/>
  <c r="P81" i="4" s="1"/>
  <c r="E80" i="4"/>
  <c r="H79" i="4"/>
  <c r="M78" i="4"/>
  <c r="C78" i="4"/>
  <c r="I77" i="4"/>
  <c r="N76" i="4"/>
  <c r="E76" i="4"/>
  <c r="K75" i="4"/>
  <c r="B75" i="4"/>
  <c r="H74" i="4"/>
  <c r="N73" i="4"/>
  <c r="E73" i="4"/>
  <c r="J72" i="4"/>
  <c r="A72" i="4"/>
  <c r="P72" i="4" s="1"/>
  <c r="G71" i="4"/>
  <c r="M70" i="4"/>
  <c r="D70" i="4"/>
  <c r="J69" i="4"/>
  <c r="A69" i="4"/>
  <c r="P69" i="4" s="1"/>
  <c r="F68" i="4"/>
  <c r="L67" i="4"/>
  <c r="C67" i="4"/>
  <c r="I66" i="4"/>
  <c r="O65" i="4"/>
  <c r="F65" i="4"/>
  <c r="L64" i="4"/>
  <c r="A213" i="4"/>
  <c r="P213" i="4" s="1"/>
  <c r="J154" i="4"/>
  <c r="C133" i="4"/>
  <c r="H123" i="4"/>
  <c r="D119" i="4"/>
  <c r="G116" i="4"/>
  <c r="H114" i="4"/>
  <c r="L112" i="4"/>
  <c r="E111" i="4"/>
  <c r="J109" i="4"/>
  <c r="N107" i="4"/>
  <c r="G106" i="4"/>
  <c r="L104" i="4"/>
  <c r="A103" i="4"/>
  <c r="P103" i="4" s="1"/>
  <c r="I101" i="4"/>
  <c r="N99" i="4"/>
  <c r="H98" i="4"/>
  <c r="E97" i="4"/>
  <c r="B96" i="4"/>
  <c r="M94" i="4"/>
  <c r="J93" i="4"/>
  <c r="G92" i="4"/>
  <c r="C91" i="4"/>
  <c r="O89" i="4"/>
  <c r="M88" i="4"/>
  <c r="L87" i="4"/>
  <c r="K86" i="4"/>
  <c r="J85" i="4"/>
  <c r="I84" i="4"/>
  <c r="I83" i="4"/>
  <c r="J82" i="4"/>
  <c r="N81" i="4"/>
  <c r="O80" i="4"/>
  <c r="D80" i="4"/>
  <c r="G79" i="4"/>
  <c r="L78" i="4"/>
  <c r="B78" i="4"/>
  <c r="G77" i="4"/>
  <c r="M76" i="4"/>
  <c r="D76" i="4"/>
  <c r="J75" i="4"/>
  <c r="A75" i="4"/>
  <c r="P75" i="4" s="1"/>
  <c r="G74" i="4"/>
  <c r="M73" i="4"/>
  <c r="C73" i="4"/>
  <c r="I72" i="4"/>
  <c r="O71" i="4"/>
  <c r="F71" i="4"/>
  <c r="L70" i="4"/>
  <c r="C70" i="4"/>
  <c r="I69" i="4"/>
  <c r="N68" i="4"/>
  <c r="E68" i="4"/>
  <c r="K67" i="4"/>
  <c r="B67" i="4"/>
  <c r="H66" i="4"/>
  <c r="N65" i="4"/>
  <c r="E65" i="4"/>
  <c r="J64" i="4"/>
  <c r="A64" i="4"/>
  <c r="P64" i="4" s="1"/>
  <c r="G63" i="4"/>
  <c r="M62" i="4"/>
  <c r="D62" i="4"/>
  <c r="J61" i="4"/>
  <c r="A61" i="4"/>
  <c r="P61" i="4" s="1"/>
  <c r="F60" i="4"/>
  <c r="L59" i="4"/>
  <c r="C59" i="4"/>
  <c r="I58" i="4"/>
  <c r="O57" i="4"/>
  <c r="F57" i="4"/>
  <c r="L56" i="4"/>
  <c r="B56" i="4"/>
  <c r="H55" i="4"/>
  <c r="N54" i="4"/>
  <c r="E54" i="4"/>
  <c r="K53" i="4"/>
  <c r="B53" i="4"/>
  <c r="H52" i="4"/>
  <c r="M51" i="4"/>
  <c r="D51" i="4"/>
  <c r="J50" i="4"/>
  <c r="A50" i="4"/>
  <c r="P50" i="4" s="1"/>
  <c r="G49" i="4"/>
  <c r="M48" i="4"/>
  <c r="D48" i="4"/>
  <c r="I47" i="4"/>
  <c r="O46" i="4"/>
  <c r="F46" i="4"/>
  <c r="L45" i="4"/>
  <c r="K198" i="4"/>
  <c r="E151" i="4"/>
  <c r="K130" i="4"/>
  <c r="M122" i="4"/>
  <c r="K118" i="4"/>
  <c r="O115" i="4"/>
  <c r="F114" i="4"/>
  <c r="K112" i="4"/>
  <c r="N110" i="4"/>
  <c r="H109" i="4"/>
  <c r="M107" i="4"/>
  <c r="A106" i="4"/>
  <c r="P106" i="4" s="1"/>
  <c r="J104" i="4"/>
  <c r="N102" i="4"/>
  <c r="C101" i="4"/>
  <c r="K99" i="4"/>
  <c r="D98" i="4"/>
  <c r="O96" i="4"/>
  <c r="L95" i="4"/>
  <c r="I94" i="4"/>
  <c r="E93" i="4"/>
  <c r="B92" i="4"/>
  <c r="N90" i="4"/>
  <c r="K89" i="4"/>
  <c r="I88" i="4"/>
  <c r="H87" i="4"/>
  <c r="G86" i="4"/>
  <c r="F85" i="4"/>
  <c r="E84" i="4"/>
  <c r="H83" i="4"/>
  <c r="I82" i="4"/>
  <c r="J81" i="4"/>
  <c r="N80" i="4"/>
  <c r="A80" i="4"/>
  <c r="P80" i="4" s="1"/>
  <c r="F79" i="4"/>
  <c r="K78" i="4"/>
  <c r="O77" i="4"/>
  <c r="F77" i="4"/>
  <c r="L76" i="4"/>
  <c r="C76" i="4"/>
  <c r="I75" i="4"/>
  <c r="O74" i="4"/>
  <c r="F74" i="4"/>
  <c r="K73" i="4"/>
  <c r="B73" i="4"/>
  <c r="H72" i="4"/>
  <c r="N71" i="4"/>
  <c r="E71" i="4"/>
  <c r="K70" i="4"/>
  <c r="B70" i="4"/>
  <c r="G69" i="4"/>
  <c r="M68" i="4"/>
  <c r="D68" i="4"/>
  <c r="J67" i="4"/>
  <c r="A67" i="4"/>
  <c r="P67" i="4" s="1"/>
  <c r="G66" i="4"/>
  <c r="M65" i="4"/>
  <c r="C65" i="4"/>
  <c r="I64" i="4"/>
  <c r="O63" i="4"/>
  <c r="F63" i="4"/>
  <c r="L62" i="4"/>
  <c r="C62" i="4"/>
  <c r="I61" i="4"/>
  <c r="N60" i="4"/>
  <c r="E60" i="4"/>
  <c r="K59" i="4"/>
  <c r="B59" i="4"/>
  <c r="H58" i="4"/>
  <c r="N57" i="4"/>
  <c r="E57" i="4"/>
  <c r="J56" i="4"/>
  <c r="A56" i="4"/>
  <c r="P56" i="4" s="1"/>
  <c r="G55" i="4"/>
  <c r="M54" i="4"/>
  <c r="D54" i="4"/>
  <c r="J53" i="4"/>
  <c r="A53" i="4"/>
  <c r="P53" i="4" s="1"/>
  <c r="F52" i="4"/>
  <c r="L51" i="4"/>
  <c r="C51" i="4"/>
  <c r="I50" i="4"/>
  <c r="O49" i="4"/>
  <c r="F49" i="4"/>
  <c r="L48" i="4"/>
  <c r="I186" i="4"/>
  <c r="H148" i="4"/>
  <c r="N128" i="4"/>
  <c r="B122" i="4"/>
  <c r="I118" i="4"/>
  <c r="N115" i="4"/>
  <c r="O113" i="4"/>
  <c r="H112" i="4"/>
  <c r="M110" i="4"/>
  <c r="B109" i="4"/>
  <c r="J107" i="4"/>
  <c r="O105" i="4"/>
  <c r="D104" i="4"/>
  <c r="L102" i="4"/>
  <c r="B101" i="4"/>
  <c r="F99" i="4"/>
  <c r="B98" i="4"/>
  <c r="N96" i="4"/>
  <c r="K95" i="4"/>
  <c r="H94" i="4"/>
  <c r="D93" i="4"/>
  <c r="A92" i="4"/>
  <c r="P92" i="4" s="1"/>
  <c r="M90" i="4"/>
  <c r="I89" i="4"/>
  <c r="H88" i="4"/>
  <c r="G87" i="4"/>
  <c r="F86" i="4"/>
  <c r="E85" i="4"/>
  <c r="D84" i="4"/>
  <c r="D83" i="4"/>
  <c r="H82" i="4"/>
  <c r="I81" i="4"/>
  <c r="M80" i="4"/>
  <c r="O79" i="4"/>
  <c r="E79" i="4"/>
  <c r="J78" i="4"/>
  <c r="N77" i="4"/>
  <c r="E77" i="4"/>
  <c r="I1" i="4"/>
  <c r="B2" i="4"/>
  <c r="K2" i="4"/>
  <c r="F3" i="4"/>
  <c r="O3" i="4"/>
  <c r="J4" i="4"/>
  <c r="E5" i="4"/>
  <c r="B6" i="4"/>
  <c r="L6" i="4"/>
  <c r="G7" i="4"/>
  <c r="D8" i="4"/>
  <c r="N8" i="4"/>
  <c r="I9" i="4"/>
  <c r="F10" i="4"/>
  <c r="A11" i="4"/>
  <c r="P11" i="4" s="1"/>
  <c r="K11" i="4"/>
  <c r="H12" i="4"/>
  <c r="C13" i="4"/>
  <c r="M13" i="4"/>
  <c r="J14" i="4"/>
  <c r="E15" i="4"/>
  <c r="O15" i="4"/>
  <c r="L16" i="4"/>
  <c r="G17" i="4"/>
  <c r="B18" i="4"/>
  <c r="O18" i="4"/>
  <c r="N19" i="4"/>
  <c r="J20" i="4"/>
  <c r="I21" i="4"/>
  <c r="E22" i="4"/>
  <c r="D23" i="4"/>
  <c r="C24" i="4"/>
  <c r="N24" i="4"/>
  <c r="M25" i="4"/>
  <c r="I26" i="4"/>
  <c r="H27" i="4"/>
  <c r="G28" i="4"/>
  <c r="C29" i="4"/>
  <c r="B30" i="4"/>
  <c r="M30" i="4"/>
  <c r="L31" i="4"/>
  <c r="K32" i="4"/>
  <c r="G33" i="4"/>
  <c r="F34" i="4"/>
  <c r="B35" i="4"/>
  <c r="A36" i="4"/>
  <c r="P36" i="4" s="1"/>
  <c r="O36" i="4"/>
  <c r="K37" i="4"/>
  <c r="J38" i="4"/>
  <c r="F39" i="4"/>
  <c r="E40" i="4"/>
  <c r="E41" i="4"/>
  <c r="B42" i="4"/>
  <c r="C43" i="4"/>
  <c r="A44" i="4"/>
  <c r="P44" i="4" s="1"/>
  <c r="B45" i="4"/>
  <c r="D46" i="4"/>
  <c r="G47" i="4"/>
  <c r="J48" i="4"/>
  <c r="G50" i="4"/>
  <c r="O51" i="4"/>
  <c r="I53" i="4"/>
  <c r="E55" i="4"/>
  <c r="M56" i="4"/>
  <c r="G58" i="4"/>
  <c r="C60" i="4"/>
  <c r="K61" i="4"/>
  <c r="E63" i="4"/>
  <c r="B65" i="4"/>
  <c r="I67" i="4"/>
  <c r="O69" i="4"/>
  <c r="G72" i="4"/>
  <c r="N74" i="4"/>
  <c r="M77" i="4"/>
  <c r="C84" i="4"/>
  <c r="C93" i="4"/>
  <c r="C104" i="4"/>
  <c r="A118" i="4"/>
  <c r="P118" i="4" s="1"/>
  <c r="B1" i="4"/>
  <c r="J1" i="4"/>
  <c r="C2" i="4"/>
  <c r="M2" i="4"/>
  <c r="G3" i="4"/>
  <c r="A4" i="4"/>
  <c r="P4" i="4" s="1"/>
  <c r="K4" i="4"/>
  <c r="H5" i="4"/>
  <c r="C6" i="4"/>
  <c r="M6" i="4"/>
  <c r="J7" i="4"/>
  <c r="E8" i="4"/>
  <c r="O8" i="4"/>
  <c r="L9" i="4"/>
  <c r="G10" i="4"/>
  <c r="B11" i="4"/>
  <c r="N11" i="4"/>
  <c r="I12" i="4"/>
  <c r="D13" i="4"/>
  <c r="A14" i="4"/>
  <c r="P14" i="4" s="1"/>
  <c r="K14" i="4"/>
  <c r="F15" i="4"/>
  <c r="C16" i="4"/>
  <c r="M16" i="4"/>
  <c r="H17" i="4"/>
  <c r="E18" i="4"/>
  <c r="A19" i="4"/>
  <c r="P19" i="4" s="1"/>
  <c r="O19" i="4"/>
  <c r="K20" i="4"/>
  <c r="J21" i="4"/>
  <c r="I22" i="4"/>
  <c r="E23" i="4"/>
  <c r="D24" i="4"/>
  <c r="O24" i="4"/>
  <c r="N25" i="4"/>
  <c r="M26" i="4"/>
  <c r="I27" i="4"/>
  <c r="H28" i="4"/>
  <c r="D29" i="4"/>
  <c r="C30" i="4"/>
  <c r="B31" i="4"/>
  <c r="M31" i="4"/>
  <c r="L32" i="4"/>
  <c r="H33" i="4"/>
  <c r="G34" i="4"/>
  <c r="F35" i="4"/>
  <c r="B36" i="4"/>
  <c r="A37" i="4"/>
  <c r="P37" i="4" s="1"/>
  <c r="L37" i="4"/>
  <c r="K38" i="4"/>
  <c r="J39" i="4"/>
  <c r="F40" i="4"/>
  <c r="F41" i="4"/>
  <c r="C42" i="4"/>
  <c r="D43" i="4"/>
  <c r="E44" i="4"/>
  <c r="C45" i="4"/>
  <c r="E46" i="4"/>
  <c r="H47" i="4"/>
  <c r="N48" i="4"/>
  <c r="H50" i="4"/>
  <c r="D52" i="4"/>
  <c r="L53" i="4"/>
  <c r="F55" i="4"/>
  <c r="B57" i="4"/>
  <c r="J58" i="4"/>
  <c r="D60" i="4"/>
  <c r="O61" i="4"/>
  <c r="H63" i="4"/>
  <c r="J65" i="4"/>
  <c r="B68" i="4"/>
  <c r="H70" i="4"/>
  <c r="O72" i="4"/>
  <c r="G75" i="4"/>
  <c r="G78" i="4"/>
  <c r="D85" i="4"/>
  <c r="F94" i="4"/>
  <c r="M105" i="4"/>
  <c r="F121" i="4"/>
  <c r="C1" i="4"/>
  <c r="K1" i="4"/>
  <c r="E2" i="4"/>
  <c r="N2" i="4"/>
  <c r="H3" i="4"/>
  <c r="B4" i="4"/>
  <c r="L4" i="4"/>
  <c r="I5" i="4"/>
  <c r="D6" i="4"/>
  <c r="N6" i="4"/>
  <c r="K7" i="4"/>
  <c r="F8" i="4"/>
  <c r="A9" i="4"/>
  <c r="P9" i="4" s="1"/>
  <c r="M9" i="4"/>
  <c r="H10" i="4"/>
  <c r="C11" i="4"/>
  <c r="O11" i="4"/>
  <c r="J12" i="4"/>
  <c r="E13" i="4"/>
  <c r="B14" i="4"/>
  <c r="L14" i="4"/>
  <c r="G15" i="4"/>
  <c r="D16" i="4"/>
  <c r="N16" i="4"/>
  <c r="I17" i="4"/>
  <c r="F18" i="4"/>
  <c r="B19" i="4"/>
  <c r="A20" i="4"/>
  <c r="P20" i="4" s="1"/>
  <c r="O20" i="4"/>
  <c r="K21" i="4"/>
  <c r="J22" i="4"/>
  <c r="F23" i="4"/>
  <c r="E24" i="4"/>
  <c r="D25" i="4"/>
  <c r="O25" i="4"/>
  <c r="N26" i="4"/>
  <c r="J27" i="4"/>
  <c r="I28" i="4"/>
  <c r="H29" i="4"/>
  <c r="D30" i="4"/>
  <c r="C31" i="4"/>
  <c r="N31" i="4"/>
  <c r="M32" i="4"/>
  <c r="L33" i="4"/>
  <c r="H34" i="4"/>
  <c r="G35" i="4"/>
  <c r="C36" i="4"/>
  <c r="B37" i="4"/>
  <c r="A38" i="4"/>
  <c r="P38" i="4" s="1"/>
  <c r="L38" i="4"/>
  <c r="K39" i="4"/>
  <c r="G40" i="4"/>
  <c r="G41" i="4"/>
  <c r="H42" i="4"/>
  <c r="E43" i="4"/>
  <c r="F44" i="4"/>
  <c r="D45" i="4"/>
  <c r="G46" i="4"/>
  <c r="K47" i="4"/>
  <c r="C49" i="4"/>
  <c r="K50" i="4"/>
  <c r="E52" i="4"/>
  <c r="B54" i="4"/>
  <c r="I55" i="4"/>
  <c r="C57" i="4"/>
  <c r="O58" i="4"/>
  <c r="H60" i="4"/>
  <c r="B62" i="4"/>
  <c r="M63" i="4"/>
  <c r="K65" i="4"/>
  <c r="C68" i="4"/>
  <c r="J70" i="4"/>
  <c r="A73" i="4"/>
  <c r="P73" i="4" s="1"/>
  <c r="H75" i="4"/>
  <c r="D79" i="4"/>
  <c r="E86" i="4"/>
  <c r="J95" i="4"/>
  <c r="E107" i="4"/>
  <c r="K127" i="4"/>
  <c r="D1" i="4"/>
  <c r="L1" i="4"/>
  <c r="F2" i="4"/>
  <c r="O2" i="4"/>
  <c r="I3" i="4"/>
  <c r="C4" i="4"/>
  <c r="O4" i="4"/>
  <c r="J5" i="4"/>
  <c r="E6" i="4"/>
  <c r="B7" i="4"/>
  <c r="L7" i="4"/>
  <c r="G8" i="4"/>
  <c r="D9" i="4"/>
  <c r="N9" i="4"/>
  <c r="I10" i="4"/>
  <c r="F11" i="4"/>
  <c r="A12" i="4"/>
  <c r="P12" i="4" s="1"/>
  <c r="K12" i="4"/>
  <c r="H13" i="4"/>
  <c r="C14" i="4"/>
  <c r="M14" i="4"/>
  <c r="J15" i="4"/>
  <c r="E16" i="4"/>
  <c r="O16" i="4"/>
  <c r="L17" i="4"/>
  <c r="G18" i="4"/>
  <c r="F19" i="4"/>
  <c r="B20" i="4"/>
  <c r="A21" i="4"/>
  <c r="P21" i="4" s="1"/>
  <c r="L21" i="4"/>
  <c r="K22" i="4"/>
  <c r="J23" i="4"/>
  <c r="F24" i="4"/>
  <c r="E25" i="4"/>
  <c r="A26" i="4"/>
  <c r="P26" i="4" s="1"/>
  <c r="O26" i="4"/>
  <c r="N27" i="4"/>
  <c r="J28" i="4"/>
  <c r="I29" i="4"/>
  <c r="E30" i="4"/>
  <c r="D31" i="4"/>
  <c r="C32" i="4"/>
  <c r="N32" i="4"/>
  <c r="M33" i="4"/>
  <c r="I34" i="4"/>
  <c r="H35" i="4"/>
  <c r="G36" i="4"/>
  <c r="C37" i="4"/>
  <c r="B38" i="4"/>
  <c r="M38" i="4"/>
  <c r="L39" i="4"/>
  <c r="K40" i="4"/>
  <c r="H41" i="4"/>
  <c r="I42" i="4"/>
  <c r="G43" i="4"/>
  <c r="H44" i="4"/>
  <c r="I45" i="4"/>
  <c r="L46" i="4"/>
  <c r="O47" i="4"/>
  <c r="E49" i="4"/>
  <c r="A51" i="4"/>
  <c r="P51" i="4" s="1"/>
  <c r="I52" i="4"/>
  <c r="C54" i="4"/>
  <c r="N55" i="4"/>
  <c r="G57" i="4"/>
  <c r="A59" i="4"/>
  <c r="P59" i="4" s="1"/>
  <c r="L60" i="4"/>
  <c r="E62" i="4"/>
  <c r="N63" i="4"/>
  <c r="D66" i="4"/>
  <c r="K68" i="4"/>
  <c r="C71" i="4"/>
  <c r="I73" i="4"/>
  <c r="A76" i="4"/>
  <c r="P76" i="4" s="1"/>
  <c r="N79" i="4"/>
  <c r="F87" i="4"/>
  <c r="M96" i="4"/>
  <c r="A109" i="4"/>
  <c r="P109" i="4" s="1"/>
  <c r="I145" i="4"/>
  <c r="E1" i="4"/>
  <c r="M1" i="4"/>
  <c r="G2" i="4"/>
  <c r="A3" i="4"/>
  <c r="P3" i="4" s="1"/>
  <c r="J3" i="4"/>
  <c r="D4" i="4"/>
  <c r="A5" i="4"/>
  <c r="P5" i="4" s="1"/>
  <c r="K5" i="4"/>
  <c r="F6" i="4"/>
  <c r="C7" i="4"/>
  <c r="M7" i="4"/>
  <c r="H8" i="4"/>
  <c r="E9" i="4"/>
  <c r="O9" i="4"/>
  <c r="J10" i="4"/>
  <c r="G11" i="4"/>
  <c r="B12" i="4"/>
  <c r="L12" i="4"/>
  <c r="I13" i="4"/>
  <c r="D14" i="4"/>
  <c r="N14" i="4"/>
  <c r="K15" i="4"/>
  <c r="F16" i="4"/>
  <c r="A17" i="4"/>
  <c r="P17" i="4" s="1"/>
  <c r="M17" i="4"/>
  <c r="H18" i="4"/>
  <c r="G19" i="4"/>
  <c r="C20" i="4"/>
  <c r="B21" i="4"/>
  <c r="A22" i="4"/>
  <c r="P22" i="4" s="1"/>
  <c r="L22" i="4"/>
  <c r="K23" i="4"/>
  <c r="G24" i="4"/>
  <c r="F25" i="4"/>
  <c r="E26" i="4"/>
  <c r="A27" i="4"/>
  <c r="P27" i="4" s="1"/>
  <c r="O27" i="4"/>
  <c r="K28" i="4"/>
  <c r="J29" i="4"/>
  <c r="I30" i="4"/>
  <c r="E31" i="4"/>
  <c r="D32" i="4"/>
  <c r="O32" i="4"/>
  <c r="N33" i="4"/>
  <c r="M34" i="4"/>
  <c r="I35" i="4"/>
  <c r="H36" i="4"/>
  <c r="D37" i="4"/>
  <c r="C38" i="4"/>
  <c r="B39" i="4"/>
  <c r="M39" i="4"/>
  <c r="L40" i="4"/>
  <c r="I41" i="4"/>
  <c r="J42" i="4"/>
  <c r="K43" i="4"/>
  <c r="I44" i="4"/>
  <c r="J45" i="4"/>
  <c r="M46" i="4"/>
  <c r="A48" i="4"/>
  <c r="P48" i="4" s="1"/>
  <c r="H49" i="4"/>
  <c r="B51" i="4"/>
  <c r="M52" i="4"/>
  <c r="F54" i="4"/>
  <c r="O55" i="4"/>
  <c r="K57" i="4"/>
  <c r="D59" i="4"/>
  <c r="M60" i="4"/>
  <c r="J62" i="4"/>
  <c r="B64" i="4"/>
  <c r="F66" i="4"/>
  <c r="L68" i="4"/>
  <c r="D71" i="4"/>
  <c r="J73" i="4"/>
  <c r="B76" i="4"/>
  <c r="I80" i="4"/>
  <c r="G88" i="4"/>
  <c r="A98" i="4"/>
  <c r="P98" i="4" s="1"/>
  <c r="K110" i="4"/>
  <c r="F179" i="4"/>
  <c r="F1" i="4"/>
  <c r="N1" i="4"/>
  <c r="H2" i="4"/>
  <c r="B3" i="4"/>
  <c r="K3" i="4"/>
  <c r="G4" i="4"/>
  <c r="B5" i="4"/>
  <c r="L5" i="4"/>
  <c r="I6" i="4"/>
  <c r="D7" i="4"/>
  <c r="N7" i="4"/>
  <c r="K8" i="4"/>
  <c r="F9" i="4"/>
  <c r="A10" i="4"/>
  <c r="P10" i="4" s="1"/>
  <c r="M10" i="4"/>
  <c r="H11" i="4"/>
  <c r="C12" i="4"/>
  <c r="O12" i="4"/>
  <c r="J13" i="4"/>
  <c r="E14" i="4"/>
  <c r="B15" i="4"/>
  <c r="L15" i="4"/>
  <c r="G16" i="4"/>
  <c r="D17" i="4"/>
  <c r="N17" i="4"/>
  <c r="I18" i="4"/>
  <c r="H19" i="4"/>
  <c r="G20" i="4"/>
  <c r="C21" i="4"/>
  <c r="B22" i="4"/>
  <c r="M22" i="4"/>
  <c r="L23" i="4"/>
  <c r="K24" i="4"/>
  <c r="G25" i="4"/>
  <c r="F26" i="4"/>
  <c r="B27" i="4"/>
  <c r="A28" i="4"/>
  <c r="P28" i="4" s="1"/>
  <c r="O28" i="4"/>
  <c r="K29" i="4"/>
  <c r="J30" i="4"/>
  <c r="F31" i="4"/>
  <c r="E32" i="4"/>
  <c r="D33" i="4"/>
  <c r="O33" i="4"/>
  <c r="N34" i="4"/>
  <c r="J35" i="4"/>
  <c r="I36" i="4"/>
  <c r="H37" i="4"/>
  <c r="D38" i="4"/>
  <c r="C39" i="4"/>
  <c r="N39" i="4"/>
  <c r="M40" i="4"/>
  <c r="N41" i="4"/>
  <c r="K42" i="4"/>
  <c r="L43" i="4"/>
  <c r="J44" i="4"/>
  <c r="K45" i="4"/>
  <c r="N46" i="4"/>
  <c r="B48" i="4"/>
  <c r="M49" i="4"/>
  <c r="E51" i="4"/>
  <c r="N52" i="4"/>
  <c r="K54" i="4"/>
  <c r="D56" i="4"/>
  <c r="M57" i="4"/>
  <c r="I59" i="4"/>
  <c r="B61" i="4"/>
  <c r="K62" i="4"/>
  <c r="G64" i="4"/>
  <c r="N66" i="4"/>
  <c r="E69" i="4"/>
  <c r="L71" i="4"/>
  <c r="C74" i="4"/>
  <c r="J76" i="4"/>
  <c r="H81" i="4"/>
  <c r="H89" i="4"/>
  <c r="E99" i="4"/>
  <c r="C112" i="4"/>
  <c r="G1" i="4"/>
  <c r="O1" i="4"/>
  <c r="I2" i="4"/>
  <c r="C3" i="4"/>
  <c r="L3" i="4"/>
  <c r="H4" i="4"/>
  <c r="C5" i="4"/>
  <c r="M5" i="4"/>
  <c r="J6" i="4"/>
  <c r="E7" i="4"/>
  <c r="O7" i="4"/>
  <c r="L8" i="4"/>
  <c r="G9" i="4"/>
  <c r="B10" i="4"/>
  <c r="N10" i="4"/>
  <c r="I11" i="4"/>
  <c r="D12" i="4"/>
  <c r="A13" i="4"/>
  <c r="P13" i="4" s="1"/>
  <c r="K13" i="4"/>
  <c r="F14" i="4"/>
  <c r="C15" i="4"/>
  <c r="M15" i="4"/>
  <c r="H16" i="4"/>
  <c r="E17" i="4"/>
  <c r="O17" i="4"/>
  <c r="M18" i="4"/>
  <c r="I19" i="4"/>
  <c r="H20" i="4"/>
  <c r="D21" i="4"/>
  <c r="C22" i="4"/>
  <c r="B23" i="4"/>
  <c r="M23" i="4"/>
  <c r="L24" i="4"/>
  <c r="H25" i="4"/>
  <c r="G26" i="4"/>
  <c r="F27" i="4"/>
  <c r="B28" i="4"/>
  <c r="A29" i="4"/>
  <c r="P29" i="4" s="1"/>
  <c r="L29" i="4"/>
  <c r="K30" i="4"/>
  <c r="J31" i="4"/>
  <c r="F32" i="4"/>
  <c r="E33" i="4"/>
  <c r="A34" i="4"/>
  <c r="P34" i="4" s="1"/>
  <c r="O34" i="4"/>
  <c r="N35" i="4"/>
  <c r="J36" i="4"/>
  <c r="I37" i="4"/>
  <c r="E38" i="4"/>
  <c r="D39" i="4"/>
  <c r="C40" i="4"/>
  <c r="N40" i="4"/>
  <c r="O41" i="4"/>
  <c r="L42" i="4"/>
  <c r="M43" i="4"/>
  <c r="N44" i="4"/>
  <c r="M45" i="4"/>
  <c r="A47" i="4"/>
  <c r="P47" i="4" s="1"/>
  <c r="E48" i="4"/>
  <c r="N49" i="4"/>
  <c r="J51" i="4"/>
  <c r="C53" i="4"/>
  <c r="L54" i="4"/>
  <c r="H56" i="4"/>
  <c r="A58" i="4"/>
  <c r="P58" i="4" s="1"/>
  <c r="J59" i="4"/>
  <c r="F61" i="4"/>
  <c r="N62" i="4"/>
  <c r="H64" i="4"/>
  <c r="O66" i="4"/>
  <c r="F69" i="4"/>
  <c r="M71" i="4"/>
  <c r="D74" i="4"/>
  <c r="K76" i="4"/>
  <c r="G82" i="4"/>
  <c r="L90" i="4"/>
  <c r="O100" i="4"/>
  <c r="N113" i="4"/>
  <c r="A1" i="4"/>
  <c r="H1" i="4"/>
  <c r="A2" i="4"/>
  <c r="P2" i="4" s="1"/>
  <c r="J2" i="4"/>
  <c r="D3" i="4"/>
  <c r="N3" i="4"/>
  <c r="I4" i="4"/>
  <c r="D5" i="4"/>
  <c r="A6" i="4"/>
  <c r="P6" i="4" s="1"/>
  <c r="K6" i="4"/>
  <c r="F7" i="4"/>
  <c r="C8" i="4"/>
  <c r="M8" i="4"/>
  <c r="H9" i="4"/>
  <c r="E10" i="4"/>
  <c r="O10" i="4"/>
  <c r="J11" i="4"/>
  <c r="G12" i="4"/>
  <c r="B13" i="4"/>
  <c r="L13" i="4"/>
  <c r="I14" i="4"/>
  <c r="D15" i="4"/>
  <c r="N15" i="4"/>
  <c r="K16" i="4"/>
  <c r="F17" i="4"/>
  <c r="A18" i="4"/>
  <c r="P18" i="4" s="1"/>
  <c r="N18" i="4"/>
  <c r="J19" i="4"/>
  <c r="I20" i="4"/>
  <c r="H21" i="4"/>
  <c r="D22" i="4"/>
  <c r="C23" i="4"/>
  <c r="N23" i="4"/>
  <c r="M24" i="4"/>
  <c r="L25" i="4"/>
  <c r="H26" i="4"/>
  <c r="G27" i="4"/>
  <c r="C28" i="4"/>
  <c r="B29" i="4"/>
  <c r="A30" i="4"/>
  <c r="P30" i="4" s="1"/>
  <c r="L30" i="4"/>
  <c r="K31" i="4"/>
  <c r="G32" i="4"/>
  <c r="F33" i="4"/>
  <c r="E34" i="4"/>
  <c r="A35" i="4"/>
  <c r="P35" i="4" s="1"/>
  <c r="O35" i="4"/>
  <c r="K36" i="4"/>
  <c r="J37" i="4"/>
  <c r="I38" i="4"/>
  <c r="E39" i="4"/>
  <c r="D40" i="4"/>
  <c r="O40" i="4"/>
  <c r="A42" i="4"/>
  <c r="P42" i="4" s="1"/>
  <c r="B43" i="4"/>
  <c r="O43" i="4"/>
  <c r="A45" i="4"/>
  <c r="P45" i="4" s="1"/>
  <c r="C46" i="4"/>
  <c r="F47" i="4"/>
  <c r="I48" i="4"/>
  <c r="B50" i="4"/>
  <c r="K51" i="4"/>
  <c r="G53" i="4"/>
  <c r="O54" i="4"/>
  <c r="I56" i="4"/>
  <c r="F58" i="4"/>
  <c r="M59" i="4"/>
  <c r="G61" i="4"/>
  <c r="D63" i="4"/>
  <c r="A65" i="4"/>
  <c r="P65" i="4" s="1"/>
  <c r="H67" i="4"/>
  <c r="N69" i="4"/>
  <c r="F72" i="4"/>
  <c r="L74" i="4"/>
  <c r="D77" i="4"/>
  <c r="C83" i="4"/>
  <c r="O91" i="4"/>
  <c r="F102" i="4"/>
  <c r="K115" i="4"/>
  <c r="G24" i="7" l="1"/>
  <c r="D23" i="7"/>
  <c r="F21" i="7"/>
  <c r="C20" i="7"/>
  <c r="E18" i="7"/>
  <c r="C17" i="7"/>
  <c r="G15" i="7"/>
  <c r="E14" i="7"/>
  <c r="C13" i="7"/>
  <c r="G11" i="7"/>
  <c r="E10" i="7"/>
  <c r="C9" i="7"/>
  <c r="G7" i="7"/>
  <c r="E6" i="7"/>
  <c r="C5" i="7"/>
  <c r="G3" i="7"/>
  <c r="E24" i="6"/>
  <c r="G22" i="6"/>
  <c r="D21" i="6"/>
  <c r="F19" i="6"/>
  <c r="C18" i="6"/>
  <c r="G16" i="6"/>
  <c r="E15" i="6"/>
  <c r="C14" i="6"/>
  <c r="G12" i="6"/>
  <c r="E11" i="6"/>
  <c r="C10" i="6"/>
  <c r="G8" i="6"/>
  <c r="E7" i="6"/>
  <c r="C6" i="6"/>
  <c r="G4" i="6"/>
  <c r="E3" i="6"/>
  <c r="C23" i="5"/>
  <c r="E21" i="5"/>
  <c r="G19" i="5"/>
  <c r="D18" i="5"/>
  <c r="G16" i="5"/>
  <c r="E15" i="5"/>
  <c r="C14" i="5"/>
  <c r="G12" i="5"/>
  <c r="E11" i="5"/>
  <c r="C10" i="5"/>
  <c r="G8" i="5"/>
  <c r="E7" i="5"/>
  <c r="C6" i="5"/>
  <c r="G4" i="5"/>
  <c r="E3" i="5"/>
  <c r="F24" i="7"/>
  <c r="C23" i="7"/>
  <c r="E21" i="7"/>
  <c r="G19" i="7"/>
  <c r="D18" i="7"/>
  <c r="B17" i="7"/>
  <c r="F15" i="7"/>
  <c r="D14" i="7"/>
  <c r="B13" i="7"/>
  <c r="F11" i="7"/>
  <c r="D10" i="7"/>
  <c r="E24" i="7"/>
  <c r="G22" i="7"/>
  <c r="D21" i="7"/>
  <c r="F19" i="7"/>
  <c r="C18" i="7"/>
  <c r="G16" i="7"/>
  <c r="E15" i="7"/>
  <c r="C14" i="7"/>
  <c r="G12" i="7"/>
  <c r="E11" i="7"/>
  <c r="C10" i="7"/>
  <c r="G8" i="7"/>
  <c r="E7" i="7"/>
  <c r="C6" i="7"/>
  <c r="G4" i="7"/>
  <c r="E3" i="7"/>
  <c r="C24" i="6"/>
  <c r="E22" i="6"/>
  <c r="G20" i="6"/>
  <c r="D19" i="6"/>
  <c r="G17" i="6"/>
  <c r="E16" i="6"/>
  <c r="C15" i="6"/>
  <c r="G13" i="6"/>
  <c r="E12" i="6"/>
  <c r="C11" i="6"/>
  <c r="G9" i="6"/>
  <c r="E8" i="6"/>
  <c r="C7" i="6"/>
  <c r="G5" i="6"/>
  <c r="E4" i="6"/>
  <c r="C3" i="6"/>
  <c r="F22" i="5"/>
  <c r="C21" i="5"/>
  <c r="E19" i="5"/>
  <c r="G17" i="5"/>
  <c r="E16" i="5"/>
  <c r="C15" i="5"/>
  <c r="G13" i="5"/>
  <c r="E12" i="5"/>
  <c r="C11" i="5"/>
  <c r="G9" i="5"/>
  <c r="E8" i="5"/>
  <c r="C7" i="5"/>
  <c r="G5" i="5"/>
  <c r="D24" i="7"/>
  <c r="F22" i="7"/>
  <c r="C21" i="7"/>
  <c r="E19" i="7"/>
  <c r="B18" i="7"/>
  <c r="F16" i="7"/>
  <c r="D15" i="7"/>
  <c r="B14" i="7"/>
  <c r="F12" i="7"/>
  <c r="D11" i="7"/>
  <c r="B10" i="7"/>
  <c r="F8" i="7"/>
  <c r="D7" i="7"/>
  <c r="B6" i="7"/>
  <c r="F4" i="7"/>
  <c r="D3" i="7"/>
  <c r="G23" i="6"/>
  <c r="D22" i="6"/>
  <c r="F20" i="6"/>
  <c r="C19" i="6"/>
  <c r="F17" i="6"/>
  <c r="D16" i="6"/>
  <c r="B15" i="6"/>
  <c r="F13" i="6"/>
  <c r="D12" i="6"/>
  <c r="B11" i="6"/>
  <c r="F9" i="6"/>
  <c r="D8" i="6"/>
  <c r="B7" i="6"/>
  <c r="F5" i="6"/>
  <c r="D4" i="6"/>
  <c r="B3" i="6"/>
  <c r="E22" i="5"/>
  <c r="G20" i="5"/>
  <c r="D19" i="5"/>
  <c r="F17" i="5"/>
  <c r="D16" i="5"/>
  <c r="B15" i="5"/>
  <c r="F13" i="5"/>
  <c r="D12" i="5"/>
  <c r="B11" i="5"/>
  <c r="F9" i="5"/>
  <c r="D8" i="5"/>
  <c r="B7" i="5"/>
  <c r="F5" i="5"/>
  <c r="C24" i="7"/>
  <c r="E22" i="7"/>
  <c r="G20" i="7"/>
  <c r="D19" i="7"/>
  <c r="G17" i="7"/>
  <c r="E16" i="7"/>
  <c r="C15" i="7"/>
  <c r="G13" i="7"/>
  <c r="E12" i="7"/>
  <c r="C11" i="7"/>
  <c r="G9" i="7"/>
  <c r="E8" i="7"/>
  <c r="C7" i="7"/>
  <c r="G5" i="7"/>
  <c r="E4" i="7"/>
  <c r="C3" i="7"/>
  <c r="F23" i="6"/>
  <c r="C22" i="6"/>
  <c r="E20" i="6"/>
  <c r="G18" i="6"/>
  <c r="E17" i="6"/>
  <c r="C16" i="6"/>
  <c r="G14" i="6"/>
  <c r="E13" i="6"/>
  <c r="C12" i="6"/>
  <c r="G10" i="6"/>
  <c r="E9" i="6"/>
  <c r="C8" i="6"/>
  <c r="G6" i="6"/>
  <c r="E5" i="6"/>
  <c r="C4" i="6"/>
  <c r="G23" i="5"/>
  <c r="D22" i="5"/>
  <c r="F20" i="5"/>
  <c r="C19" i="5"/>
  <c r="E17" i="5"/>
  <c r="C16" i="5"/>
  <c r="G14" i="5"/>
  <c r="E13" i="5"/>
  <c r="C12" i="5"/>
  <c r="G10" i="5"/>
  <c r="E9" i="5"/>
  <c r="C8" i="5"/>
  <c r="G6" i="5"/>
  <c r="E5" i="5"/>
  <c r="C4" i="5"/>
  <c r="G23" i="7"/>
  <c r="D22" i="7"/>
  <c r="F20" i="7"/>
  <c r="C19" i="7"/>
  <c r="F17" i="7"/>
  <c r="D16" i="7"/>
  <c r="B15" i="7"/>
  <c r="F13" i="7"/>
  <c r="D12" i="7"/>
  <c r="B11" i="7"/>
  <c r="F9" i="7"/>
  <c r="D8" i="7"/>
  <c r="B7" i="7"/>
  <c r="F5" i="7"/>
  <c r="D4" i="7"/>
  <c r="B3" i="7"/>
  <c r="E23" i="6"/>
  <c r="G21" i="6"/>
  <c r="D20" i="6"/>
  <c r="F18" i="6"/>
  <c r="D17" i="6"/>
  <c r="B16" i="6"/>
  <c r="F14" i="6"/>
  <c r="D13" i="6"/>
  <c r="B12" i="6"/>
  <c r="F10" i="6"/>
  <c r="D9" i="6"/>
  <c r="B8" i="6"/>
  <c r="F6" i="6"/>
  <c r="D5" i="6"/>
  <c r="B4" i="6"/>
  <c r="F23" i="5"/>
  <c r="C22" i="5"/>
  <c r="E20" i="5"/>
  <c r="G18" i="5"/>
  <c r="D17" i="5"/>
  <c r="B16" i="5"/>
  <c r="F23" i="7"/>
  <c r="C22" i="7"/>
  <c r="E20" i="7"/>
  <c r="G18" i="7"/>
  <c r="E17" i="7"/>
  <c r="C16" i="7"/>
  <c r="G14" i="7"/>
  <c r="E13" i="7"/>
  <c r="C12" i="7"/>
  <c r="G10" i="7"/>
  <c r="E9" i="7"/>
  <c r="C8" i="7"/>
  <c r="G6" i="7"/>
  <c r="E5" i="7"/>
  <c r="C4" i="7"/>
  <c r="G24" i="6"/>
  <c r="D23" i="6"/>
  <c r="F21" i="6"/>
  <c r="C20" i="6"/>
  <c r="E18" i="6"/>
  <c r="C17" i="6"/>
  <c r="G15" i="6"/>
  <c r="E14" i="6"/>
  <c r="C13" i="6"/>
  <c r="G11" i="6"/>
  <c r="E10" i="6"/>
  <c r="C9" i="6"/>
  <c r="G7" i="6"/>
  <c r="E6" i="6"/>
  <c r="C5" i="6"/>
  <c r="G3" i="6"/>
  <c r="E23" i="5"/>
  <c r="G21" i="5"/>
  <c r="D20" i="5"/>
  <c r="F18" i="5"/>
  <c r="C17" i="5"/>
  <c r="G15" i="5"/>
  <c r="E14" i="5"/>
  <c r="C13" i="5"/>
  <c r="G11" i="5"/>
  <c r="E10" i="5"/>
  <c r="C9" i="5"/>
  <c r="G7" i="5"/>
  <c r="E6" i="5"/>
  <c r="C5" i="5"/>
  <c r="G3" i="5"/>
  <c r="E23" i="7"/>
  <c r="G21" i="7"/>
  <c r="D20" i="7"/>
  <c r="F18" i="7"/>
  <c r="D17" i="7"/>
  <c r="B16" i="7"/>
  <c r="F14" i="7"/>
  <c r="D13" i="7"/>
  <c r="B12" i="7"/>
  <c r="F10" i="7"/>
  <c r="D9" i="7"/>
  <c r="B8" i="7"/>
  <c r="F6" i="7"/>
  <c r="D5" i="7"/>
  <c r="B4" i="7"/>
  <c r="F24" i="6"/>
  <c r="C23" i="6"/>
  <c r="E21" i="6"/>
  <c r="G19" i="6"/>
  <c r="D18" i="6"/>
  <c r="B17" i="6"/>
  <c r="F15" i="6"/>
  <c r="D14" i="6"/>
  <c r="B13" i="6"/>
  <c r="F11" i="6"/>
  <c r="D10" i="6"/>
  <c r="B9" i="6"/>
  <c r="F7" i="6"/>
  <c r="D6" i="6"/>
  <c r="B5" i="6"/>
  <c r="F3" i="6"/>
  <c r="D23" i="5"/>
  <c r="F21" i="5"/>
  <c r="C20" i="5"/>
  <c r="E18" i="5"/>
  <c r="B17" i="5"/>
  <c r="F15" i="5"/>
  <c r="D14" i="5"/>
  <c r="B13" i="5"/>
  <c r="F11" i="5"/>
  <c r="D10" i="5"/>
  <c r="B9" i="7"/>
  <c r="E19" i="6"/>
  <c r="F8" i="6"/>
  <c r="C18" i="5"/>
  <c r="D11" i="5"/>
  <c r="D7" i="5"/>
  <c r="D4" i="5"/>
  <c r="F7" i="7"/>
  <c r="B18" i="6"/>
  <c r="D7" i="6"/>
  <c r="F16" i="5"/>
  <c r="F10" i="5"/>
  <c r="F6" i="5"/>
  <c r="B4" i="5"/>
  <c r="D6" i="7"/>
  <c r="F16" i="6"/>
  <c r="B6" i="6"/>
  <c r="D15" i="5"/>
  <c r="B10" i="5"/>
  <c r="D6" i="5"/>
  <c r="F3" i="5"/>
  <c r="B5" i="7"/>
  <c r="D15" i="6"/>
  <c r="F4" i="6"/>
  <c r="F14" i="5"/>
  <c r="D9" i="5"/>
  <c r="B6" i="5"/>
  <c r="F3" i="7"/>
  <c r="B14" i="6"/>
  <c r="D3" i="6"/>
  <c r="B14" i="5"/>
  <c r="B9" i="5"/>
  <c r="D5" i="5"/>
  <c r="C3" i="5"/>
  <c r="D24" i="6"/>
  <c r="F12" i="6"/>
  <c r="G22" i="5"/>
  <c r="D13" i="5"/>
  <c r="F8" i="5"/>
  <c r="B5" i="5"/>
  <c r="B3" i="5"/>
  <c r="F22" i="6"/>
  <c r="C21" i="6"/>
  <c r="F7" i="5"/>
  <c r="D11" i="6"/>
  <c r="F4" i="5"/>
  <c r="B10" i="6"/>
  <c r="E4" i="5"/>
  <c r="D21" i="5"/>
  <c r="D3" i="5"/>
  <c r="F19" i="5"/>
  <c r="F12" i="5"/>
  <c r="B12" i="5"/>
  <c r="B8" i="5"/>
  <c r="E23" i="3"/>
  <c r="G21" i="3"/>
  <c r="D20" i="3"/>
  <c r="F18" i="3"/>
  <c r="D17" i="3"/>
  <c r="B16" i="3"/>
  <c r="F14" i="3"/>
  <c r="D13" i="3"/>
  <c r="B12" i="3"/>
  <c r="F10" i="3"/>
  <c r="D9" i="3"/>
  <c r="B8" i="3"/>
  <c r="F6" i="3"/>
  <c r="D5" i="3"/>
  <c r="B4" i="3"/>
  <c r="F23" i="3"/>
  <c r="C16" i="3"/>
  <c r="E9" i="3"/>
  <c r="G24" i="3"/>
  <c r="D23" i="3"/>
  <c r="F21" i="3"/>
  <c r="C20" i="3"/>
  <c r="E18" i="3"/>
  <c r="C17" i="3"/>
  <c r="G15" i="3"/>
  <c r="E14" i="3"/>
  <c r="C13" i="3"/>
  <c r="G11" i="3"/>
  <c r="E10" i="3"/>
  <c r="C9" i="3"/>
  <c r="G7" i="3"/>
  <c r="E6" i="3"/>
  <c r="C5" i="3"/>
  <c r="G3" i="3"/>
  <c r="E20" i="3"/>
  <c r="E13" i="3"/>
  <c r="F24" i="3"/>
  <c r="C23" i="3"/>
  <c r="E21" i="3"/>
  <c r="G19" i="3"/>
  <c r="D18" i="3"/>
  <c r="B17" i="3"/>
  <c r="F15" i="3"/>
  <c r="D14" i="3"/>
  <c r="B13" i="3"/>
  <c r="F11" i="3"/>
  <c r="D10" i="3"/>
  <c r="B9" i="3"/>
  <c r="F7" i="3"/>
  <c r="D6" i="3"/>
  <c r="B5" i="3"/>
  <c r="F3" i="3"/>
  <c r="C6" i="3"/>
  <c r="G4" i="3"/>
  <c r="C22" i="3"/>
  <c r="G10" i="3"/>
  <c r="C4" i="3"/>
  <c r="E24" i="3"/>
  <c r="G22" i="3"/>
  <c r="D21" i="3"/>
  <c r="F19" i="3"/>
  <c r="C18" i="3"/>
  <c r="G16" i="3"/>
  <c r="E15" i="3"/>
  <c r="C14" i="3"/>
  <c r="G12" i="3"/>
  <c r="E11" i="3"/>
  <c r="C10" i="3"/>
  <c r="G8" i="3"/>
  <c r="E7" i="3"/>
  <c r="E3" i="3"/>
  <c r="E17" i="3"/>
  <c r="C8" i="3"/>
  <c r="D24" i="3"/>
  <c r="F22" i="3"/>
  <c r="C21" i="3"/>
  <c r="E19" i="3"/>
  <c r="B18" i="3"/>
  <c r="F16" i="3"/>
  <c r="D15" i="3"/>
  <c r="B14" i="3"/>
  <c r="F12" i="3"/>
  <c r="D11" i="3"/>
  <c r="B10" i="3"/>
  <c r="F8" i="3"/>
  <c r="D7" i="3"/>
  <c r="B6" i="3"/>
  <c r="F4" i="3"/>
  <c r="D3" i="3"/>
  <c r="D4" i="3"/>
  <c r="G14" i="3"/>
  <c r="E5" i="3"/>
  <c r="C24" i="3"/>
  <c r="E22" i="3"/>
  <c r="G20" i="3"/>
  <c r="D19" i="3"/>
  <c r="G17" i="3"/>
  <c r="E16" i="3"/>
  <c r="C15" i="3"/>
  <c r="G13" i="3"/>
  <c r="E12" i="3"/>
  <c r="C11" i="3"/>
  <c r="G9" i="3"/>
  <c r="E8" i="3"/>
  <c r="C7" i="3"/>
  <c r="G5" i="3"/>
  <c r="E4" i="3"/>
  <c r="C3" i="3"/>
  <c r="B3" i="3"/>
  <c r="C12" i="3"/>
  <c r="G23" i="3"/>
  <c r="D22" i="3"/>
  <c r="F20" i="3"/>
  <c r="C19" i="3"/>
  <c r="F17" i="3"/>
  <c r="D16" i="3"/>
  <c r="B15" i="3"/>
  <c r="F13" i="3"/>
  <c r="D12" i="3"/>
  <c r="B11" i="3"/>
  <c r="F9" i="3"/>
  <c r="D8" i="3"/>
  <c r="B7" i="3"/>
  <c r="F5" i="3"/>
  <c r="G18" i="3"/>
  <c r="G6" i="3"/>
</calcChain>
</file>

<file path=xl/sharedStrings.xml><?xml version="1.0" encoding="utf-8"?>
<sst xmlns="http://schemas.openxmlformats.org/spreadsheetml/2006/main" count="1037" uniqueCount="426">
  <si>
    <t>タイムスタンプ</t>
  </si>
  <si>
    <t>社員番号</t>
  </si>
  <si>
    <t>氏名</t>
  </si>
  <si>
    <t>研修名をお選び下さい。</t>
  </si>
  <si>
    <t>担当した講師名をお選び下さい。</t>
  </si>
  <si>
    <t>① 研修に満足しましたか？（全く思わない：1、思わない：2、思う：3、強く思う：4）</t>
  </si>
  <si>
    <t>② 研修内容は理解出来ましたか？（全く理解出来ていない：1、理解出来ていない：2、理解出来ている：3、十分に理解出来ている：4）</t>
  </si>
  <si>
    <t>③ 研修で新たな学びは得られましたか？または必要な知識は得られましたか？（全く得られていない：1、得られていない：2、得られている：3、十分に得られている：4）</t>
  </si>
  <si>
    <t>④ 研修内容のボリュームは適切でしたか？（全く適切ではない：1、適切ではない：2、適切である：3、十分に適切である：4）</t>
  </si>
  <si>
    <t>⑤ 研修のテキスト、教材に対して満足しましたか？（全く思わない：1、思わない：2、思う：3、強く思う：4）</t>
  </si>
  <si>
    <t>⑥ 講師の講義、あるいはフィードバックに対して満足しましたか？（全く思わない：1、思わない：2、思う：3、強く思う：4）</t>
  </si>
  <si>
    <t>⑦ 講師は研修内容に関する知識を持っていましたか  ？（全く持っていない：1、持っていない：2、持っている：3、十分に持っている：4）</t>
  </si>
  <si>
    <t>⑧  今回の研修で学んだことを、今後の業務で実践する機会はありそうですか？</t>
  </si>
  <si>
    <t>⑨ 研修に対する感想や要望などあれば、自由にご記入下さい。</t>
  </si>
  <si>
    <t>➉ 講師に対する感想や要望などあれば、自由にご記入下さい。</t>
  </si>
  <si>
    <t>受講時期</t>
  </si>
  <si>
    <t>鈴木 健斗</t>
  </si>
  <si>
    <t>プロジェクトマネージャー実践研修</t>
  </si>
  <si>
    <t>永谷 裕子 (プロジェクトマネージャー実践研修担当)</t>
  </si>
  <si>
    <t>ある</t>
  </si>
  <si>
    <t>第1期</t>
  </si>
  <si>
    <t>望月洋平</t>
  </si>
  <si>
    <t>座学より演習時間を増やしてほしい</t>
  </si>
  <si>
    <t>廣田慎太郎</t>
  </si>
  <si>
    <t xml:space="preserve">PCを利用しない形式なので良かった。→PC利用するとどうしても仕事をしてしまう場面があるため。
ワークの題材について、引越じゃなく、具体的なIT関連PJにしても良かったと思う(参加者が全員IT経験者のため)
</t>
  </si>
  <si>
    <t>所々で体験談を挟んでいただいた点が良かったです。ありがとうごさいました。</t>
  </si>
  <si>
    <t>田中弘紀</t>
  </si>
  <si>
    <t>模造紙に手書きでは無く、スプレッドシートやスライドなどで実習に取り組めたら
やりやすいと感じました。</t>
  </si>
  <si>
    <t>齋藤ダイキ</t>
  </si>
  <si>
    <t>PMでは無いので、PMがどのようなことを考えて業務を行なっているか学びながら体験できてとても良かった</t>
  </si>
  <si>
    <t>実務を行なっていた講師なので、踏み込んだ話を聞けたし、いろいろ話ししてくれて楽しい研修だなと感じた</t>
  </si>
  <si>
    <t>長谷川　裕昭</t>
  </si>
  <si>
    <t>PMとしてどうするべきか、何をするべきか、何を考えるべきかなど、学び考えることができ非常にいい経験になりました。</t>
  </si>
  <si>
    <t>小谷大基</t>
  </si>
  <si>
    <t>PM目指すかどうか関係無くプロジェクト進行についての大事な知識が詰まっているのでうちのエンジニアが全員受けるべきだと思いました。</t>
  </si>
  <si>
    <t>永谷先生の説明は非常に分かりやすく、自己学習でわからなかった点がクリアになってよかったです。</t>
  </si>
  <si>
    <t>小畑アリス</t>
  </si>
  <si>
    <t>ワークがたくさんあり楽しかったです。実際に現在担当しているプロジェクトで不安に思ってることや解決策とかを学べました。仕事から離れて対面でやる勉強会はオンラインよりたくさん吸収できたように思います。ありがとうございました。</t>
  </si>
  <si>
    <t>２日間ありがとうございました。いつもワークの発表をした際に、みんなの意見に対して、いいね！と褒めてくださったのがすごく印象的でしたし、日々のMTGで私も真似しようと思いました。pmbokは、本が分厚くて勉強する気にならなかったので、対面でワークたくさんで勉強できたのはすごくありがたかったです。ありがとうございました。これから、PM頑張ります。</t>
  </si>
  <si>
    <t>阿部幸司</t>
  </si>
  <si>
    <t>漠然と知っていたことを体系として知れてよかったです。短い時間の中で要点を押さえての研修だったと思うのでまだまだ奥深いと思っているので復習と自己学習、アウトプットをして忘れないようにしていきたいとおもいます。</t>
  </si>
  <si>
    <t>実際の経験からのお話があってより現場を感じられてよかったです。</t>
  </si>
  <si>
    <t>江端隼樹</t>
  </si>
  <si>
    <t>今まではっきりとPMという形で参画したプロジェクトはなかったが、WBSの作成やガントチャートは自分なりに作っていた。
ハードスキルは知っていることもあったが、ソフトスキルは知らないことも多かったので、これから身につけたい</t>
  </si>
  <si>
    <t>永谷さんの経験もたくさん話してくださり、参考になりました</t>
  </si>
  <si>
    <t>謝花　彰一</t>
  </si>
  <si>
    <t>実践パートがもう少し多ければいいかなと思いました。</t>
  </si>
  <si>
    <t>色々な自身の経験談があり楽しく進められた、マネジメントに対する知識も凄いなと思いました。</t>
  </si>
  <si>
    <t>片山健太郎</t>
  </si>
  <si>
    <t>中村円香</t>
  </si>
  <si>
    <t>実践形式のテーマがわかりやすく、PMの経験がなくてもわかりやすかったです。</t>
  </si>
  <si>
    <t>話題が豊富で何に対しても回答していただけたので、話しやすかったです。</t>
  </si>
  <si>
    <t>辻隆範</t>
  </si>
  <si>
    <t>フロントエンドエンジニア実践研修(React) 初級編</t>
  </si>
  <si>
    <t>日暮 香美 (フロントエンドエンジニア実践研修(React) 初級編、中級編担当)</t>
  </si>
  <si>
    <t>分からない</t>
  </si>
  <si>
    <t>資料がどこまで含まれているのかわかりずらく、どこから自分である程度調べるべきなのか、これで進め方はあっているのかという不安があった</t>
  </si>
  <si>
    <t>丁寧にご対応いただきありがたかったです。</t>
  </si>
  <si>
    <t>内藤宏治</t>
  </si>
  <si>
    <t>雪吉礼名</t>
  </si>
  <si>
    <t>フロントエンドエンジニア実践研修(React) 中級編</t>
  </si>
  <si>
    <t>柴﨑 良平 (フロントエンドエンジニア実践研修(React) 中級編担当)</t>
  </si>
  <si>
    <t>ReduxやSliceをほとんど知らなかったのでつまづくこともありましたが、調べながら進めることができました。
案件が落ち着いている時期だったので、今回は早めに提出ができました。
繁忙期と重なっていたら、課題をこなすのが難しかったかなと感じました。</t>
  </si>
  <si>
    <t>細かい点まで確認していただきありがとうございました。</t>
  </si>
  <si>
    <t>田中辰弥</t>
  </si>
  <si>
    <t>伊藤 健一 (フロントエンドエンジニア実践研修(React) 初級編担当)</t>
  </si>
  <si>
    <t>研修課題が誤記がわりとあったり、問題の内容がわかりづらいところがあったので、もう少し問題内容を正確に作成して頂きたいと思いました。</t>
  </si>
  <si>
    <t>001475</t>
  </si>
  <si>
    <t>Joao Henrique Hideki Shirata</t>
  </si>
  <si>
    <t>クラウドインフラエンジニア実践研修(AWS) 初級編</t>
  </si>
  <si>
    <t>天野 盛介 (クラウドインフラエンジニア実践研修(AWS) 初級編、中級編担当)</t>
  </si>
  <si>
    <t>佐々木淳</t>
  </si>
  <si>
    <t>学びがあり、受講して良かったです。なお、研修テキスト（手順書）についての意見が2点あります。1点目として、品質についてです。手順書の記載誤りにより、手順どおりにいかないところが複数あり、想定以上に時間がかかりました。配布前の確認が不足していると思われます。2点目は、記載内容として、要件と手順以外の記載が少ないため、理解度向上につながるようなTipsを増やすと尚良いと思いました。Tipsの例として、サービスのユースケース、方法が複数あるケースでそれぞれのメリット・デメリット、などです。</t>
  </si>
  <si>
    <t>丁寧にご対応をいただき、ありがとうございました。</t>
  </si>
  <si>
    <t>緒方遼太郎</t>
  </si>
  <si>
    <t>システムエンジニア実践研修</t>
  </si>
  <si>
    <t>大矢 和輝 (システムエンジニア実践研修担当)</t>
  </si>
  <si>
    <t>資料を読み込む時間が多くあった、印象なので、別日で事前に読み込める機会があればいいなと思いました。</t>
  </si>
  <si>
    <t>南川颯</t>
  </si>
  <si>
    <t>本田詞音</t>
  </si>
  <si>
    <t>資料も教え方も実践課題もすごく良く、ためになりました。</t>
  </si>
  <si>
    <t>足立洋介</t>
  </si>
  <si>
    <t>DB定義や画面入力書などを業務上やっていた、見たことがあったため、新たな学びというより復習になる部分が多かった。ユーザー側の要件定義の部分は未知の部分のため経験からの話が大変ためになった。</t>
  </si>
  <si>
    <t>宇山卓見</t>
  </si>
  <si>
    <t>実業まで普段やっていることより難易度がかなり低く感じた（私にとっては当たり前のことがほとんどだった）。</t>
  </si>
  <si>
    <t>話し方はすごく分かりやすかったので、今回の内容を難しくて感じた方にはいい研修なのかなと思いました。</t>
  </si>
  <si>
    <t>畦﨑凜</t>
  </si>
  <si>
    <t>古賀巧</t>
  </si>
  <si>
    <t>リモートではなく、集まって参加する意味があった。早起き成功してよかった。
頂いた資料がとても参考になったので見返したい。</t>
  </si>
  <si>
    <t>001195</t>
  </si>
  <si>
    <t>木俣颯太</t>
  </si>
  <si>
    <t>新しい知識の研修でとても勉強になりました。
普段の業務がインフラの運用が主なので今後アプリの設計書や用件定義書を読み込む際にどのような内容が記載あるのかが理解できました。</t>
  </si>
  <si>
    <t>001205</t>
  </si>
  <si>
    <t>佐藤夏実</t>
  </si>
  <si>
    <t>システムエンジニアの全体像がわかってよかった。あまり知識がなかったのでイーランニングもとてもためになった。イーランニング比べて目的がよくわからなかったらつまずきやすいところなどがまとめられたらよかったかと思った。後半は単純作業だと感じた。</t>
  </si>
  <si>
    <t>本日はありがとうございました。今後システムエンジニアの一部の仕事に関わることもあると思うので今日の経験を活かしたいとおもいました。ありがとうございます。</t>
  </si>
  <si>
    <t>001270</t>
  </si>
  <si>
    <t>山岸一範</t>
  </si>
  <si>
    <t>要件定義、基本設計、詳細設計で作成するドキュメントで曖昧なものがあるので、このケースではこのフェーズで作る必要があるとかも教えて欲しかった。
手で設計書は普段書かないのでPCで書かせて欲しかった。
オンライン開催でPCで課題を各自でやって、出来上がった課題の成果物を画面共有で見せる方が効率がいいと思った。</t>
  </si>
  <si>
    <t>丁寧で質問に対しても詳しく答えてくださって、雰囲気はとてもよかった。</t>
  </si>
  <si>
    <t>大橋絵実</t>
  </si>
  <si>
    <t>本日はありがとうございました。完全アナログだったため、より業務に近いように色んなツール等を用いながら学べるとより実践に活かせそうだなあと感じました。また、内容が広く浅くだったため、個人的にはDB設計や業務フローをより深く学びたかったです。</t>
  </si>
  <si>
    <t>001326</t>
  </si>
  <si>
    <t>吉田 優太</t>
  </si>
  <si>
    <t>この度は研修の機会をいただきありがとうございました。
今まで要件定義と基本設計を体系的に教わる機会が無かったので、とても有意義でした。
研修内容も現役で上流工程を担当されている方だったので、実務に即した形で大変参考になりました。
一つ要望がありまして、ワーク実施する際の様式が手書きでやりにくさを感じました。
早さと共有しやすさを考慮してPCでやらせてもらえるともっと良かったかなと思いました。
(講師の方も若干やりにくそうでした。。。)
Google meetの画面共有を使えば個人単位での発表とかもやりやすそうなので、次期以降で検討もらえればと思います。
とはいえ、満足度は高かったです！</t>
  </si>
  <si>
    <t>今回のような形式での講義は初めてと伺っていましたが、そこまで違和感は無かったです。
段取り周りで若干不慣れな印象を抱きましたが、研修の質や満足度を著しく下げるような物ではなかったです。
スライド資料も読みやすく感じました。
要望としてはせっかく現役で上流やられている方なので、実務であった事をコラム的にもっと聞きたかったかもしれません。</t>
  </si>
  <si>
    <t>023007</t>
  </si>
  <si>
    <t>松永圭悟</t>
  </si>
  <si>
    <t>松永 圭悟 (フロントエンドエンジニア実践研修(React) 初級編、中級編担当)</t>
  </si>
  <si>
    <t>提出物の締め切りタイミングを、より早めになるようにして頂ければと思います。
理由として、2日前の提出で確認がだいぶぎりぎりであった為です。</t>
  </si>
  <si>
    <t>上地航平</t>
  </si>
  <si>
    <t>クラウドインフラエンジニア実践研修(AWS) 中級編</t>
  </si>
  <si>
    <t>普段の担当業務の中では、すでに構築されたECSアプリケーションの開発保守をしています。今回の研修を受講し進めていくなかで構成図ベースでしかECSを理解していませんでしたが、コンソールを触っていくなかで構成図のクラスタはここのコンソール画面とリンクしているといったイメージがついたので、今後の業務（トラシュー）に活用できると感じています。
あと手順書は詳細にかかれており、詰まるところも少なくクオリティは高かったなと思いました。
（一部上手くいかない箇所がありましたが、そのトラシュー含めて勉強になりました。）</t>
  </si>
  <si>
    <t>成果物に対する適切なレビューと今後の改修に向けたヒアリングをして頂いたのが良かったです。今後上級コースの新規開設や既存の初級・中級の拡充にも期待しています。</t>
  </si>
  <si>
    <t>黒岩勇哉</t>
  </si>
  <si>
    <t>秋山悠</t>
  </si>
  <si>
    <t>中澤勇志</t>
  </si>
  <si>
    <t>クラウドインフラエンジニア実践研修(GC) 中級編</t>
  </si>
  <si>
    <t>野川 錦策 (クラウドインフラエンジニア実践研修(GC) 初級編、中級編担当)</t>
  </si>
  <si>
    <t>01124</t>
  </si>
  <si>
    <t>寺田 侃生</t>
  </si>
  <si>
    <t>難易度は高いと感じたが達成感を得られてよかった</t>
  </si>
  <si>
    <t>特にありません</t>
  </si>
  <si>
    <t>上地佑弥</t>
  </si>
  <si>
    <t>櫻田博之</t>
  </si>
  <si>
    <t>濱村綾</t>
  </si>
  <si>
    <t>仲地　大樹</t>
  </si>
  <si>
    <t>鹿嶋未郷</t>
  </si>
  <si>
    <t>もう少し長めに時間とっていただければ満足です</t>
  </si>
  <si>
    <t>満村雄二</t>
  </si>
  <si>
    <t>実戦形式も多く楽しむ事ができました。
ありがとうございました。</t>
  </si>
  <si>
    <t>外資経験のあるような方でとてもユニークな方でした</t>
  </si>
  <si>
    <t>山本豪</t>
  </si>
  <si>
    <t>中地 悠斗</t>
  </si>
  <si>
    <t>やはりPCが使えないのが厳しかった。</t>
  </si>
  <si>
    <t>青木勝則</t>
  </si>
  <si>
    <t>少し端折ったところもあったので3日ぐらいあるとなお良いかかともいました</t>
  </si>
  <si>
    <t>勉強になりました！</t>
  </si>
  <si>
    <t>001279</t>
  </si>
  <si>
    <t>秋野光史</t>
  </si>
  <si>
    <t>畠山大治</t>
  </si>
  <si>
    <t>吉田優作</t>
  </si>
  <si>
    <t>業務につなげれる内容が多く非常に参考になりました</t>
  </si>
  <si>
    <t>田原慶</t>
  </si>
  <si>
    <t>現代のプロジェクトに活かせるのか？が課題かと思いました。</t>
  </si>
  <si>
    <t>アメリカと日本を比較した話がとても良かったです。</t>
  </si>
  <si>
    <t>001258</t>
  </si>
  <si>
    <t>篠藤　誉之</t>
  </si>
  <si>
    <t>クラウドインフラエンジニア実践研修(GC) 初級編</t>
  </si>
  <si>
    <t>課題の量や学習に費やす時間が多く必要なため、スキルアップ研修を複数こなしていくのは難しいかと思いました。難易度は問題ありませんでした。とても為になりました</t>
  </si>
  <si>
    <t>とても有意義な研修だったと思います。
最後に他の方も仰っていましたがプロジェクトマネジメントを体系的に学ぶ機会は中々ないので、貴重な機会でした。
特に「プロジェクトマネジメントの『マネジメント』とは『ただ管理する』という意味でなく『(困難な状況で)なんとか対処する』という意味である」という言葉は目から鱗でした。
内容についてもAIの登場を鑑みたPMが果たすべき役割の変化など、昨今の情勢を考慮した内容となっており、大変参考になるものでした。
ワークについてもこちらは手書きでも無理のない内容になっていて、より実践的だったと思います。(WBSの作成について大変タメになりました。)
総じて受けてよかったと思える研修でした…ありがとうございました。</t>
  </si>
  <si>
    <t>豊富な経験とご実力を伺わせる手腕が研修の内容や進行のやり方に現れていたと思います。
永谷先生によれば本来四日間の研修を圧縮した内容になっているとの事でしたが、内容の選定がプロジェクトを失敗させる大きな要因(計画•コミュニケーション)にフォーカスしており、初学者レベルの私からしても納得かつ満足できる研修内容となっていました。
現役は退かれている？ようでしたが、AIがプロジェクトマネジメントの現場に及ぼす影響などの考察も話されており、知識を更新し続けている姿勢など研修の内容以外でも見習うべきと感じた点が多々ありました。
他にもプロジェクトマネジメントの現場で実際にご経験された事をコラム的にお話されていましたが、聞いていて参考になる所もあり、面白かったです。
前職まで教科書の内容をなぞるようなレベルの研修しか受けていなかったため、確固とした実績•実力のある講師の講義とはこういうものなのか、と感嘆しました。
弊社のPM研修に次回があるのであれば、次も永谷先生に講師をお願いすると良いのではないかなと思いました。</t>
  </si>
  <si>
    <t>日下 憧</t>
  </si>
  <si>
    <t xml:space="preserve">研修内容については難易度の高い部分もありましたが、その分非常に学びが多く、自身の知識や理解を深める大変良い機会となりました。  </t>
  </si>
  <si>
    <t xml:space="preserve">講師の方には、フィードバックや質問に対して常に丁寧かつ分かりやすくご対応いただき、大変感謝しております。  
受講者の理解度に合わせて詳しく説明してくださったおかげで、内容をより深く理解することができました。  
</t>
  </si>
  <si>
    <t>久志野裕矢</t>
  </si>
  <si>
    <t>初級編の内容はNWとPSCをメインで課題を作成されていると伺いました。
そのため、現時点での業務で初級編のユースケースはないと考えております。
LBやPSCの理解深めるためであれば、もう少し簡素な構成でも良いかと思いました。</t>
  </si>
  <si>
    <t>特になし</t>
  </si>
  <si>
    <t>山岸 一範</t>
  </si>
  <si>
    <t>フロントエンドエンジニア実践研修(Vue.js) 中級編</t>
  </si>
  <si>
    <t>日野 龍樹 (フロントエンドエンジニア実践研修(Vue.js) 初級編、中級編担当)</t>
  </si>
  <si>
    <t>実践研修中級編ということでしたが、内容的には初級後編レベルな印象です。
個人的にはもう少し難易度の高い実践研修を求めていました。
backendはjsonファイルの読み書きで行うという指定でしたが、DB立てた方が実務に活かせると思います。
ただ、クイズのjsonの形式をアプリにとって最適にするにはどうしたらいいか試行錯誤する時間はとても楽しかったです。</t>
  </si>
  <si>
    <t>中級編のレビューをするにはレベルが足りないのではないかと思います。
Nuxtを使った実務経験はないとおっしゃっていたので、実務経験のある講師とディレクトリ構成のベストプラクティスや実装時の勘所についてもっと議論したかったです。</t>
  </si>
  <si>
    <t>山本 豪</t>
  </si>
  <si>
    <t>フロントエンドエンジニア実践研修(Vue.js) 初級編</t>
  </si>
  <si>
    <t>フロントエンジニアの学習領域はかなり広いと感じました。
学習時間がどうしても不足しがちでしたので学習期間を長く取るか、集中的に長時間学習できるように時間の確保が大事だと思いました。</t>
  </si>
  <si>
    <t>あたりの柔らかい話しやすい印象で会話がし易かったです。
また、実務の内容についてもソースを丁寧に読んでいただき、適切なフィードバックをいただけたため、今後のスキルアップに繋げられると思いました。</t>
  </si>
  <si>
    <t>福富道德</t>
  </si>
  <si>
    <t>スマホアプリエンジニア実践研修 中級編</t>
  </si>
  <si>
    <t>清水 裕太 (スマホアプリエンジニア実践研修 初級編、中級編担当)</t>
  </si>
  <si>
    <t>特にありません。</t>
  </si>
  <si>
    <t>業務でも活用できそうなところを細かく指摘して頂き助かりました。</t>
  </si>
  <si>
    <t>齋藤大樹</t>
  </si>
  <si>
    <t>スマホアプリエンジニア実践研修 初級編</t>
  </si>
  <si>
    <t>初心者には難易度が高く感じたが、提出物が提出できる頃には実務(flutterのアプリ開発をしているチーム）のコードがそれなりに読めるようになったと感じるので、とても良かったです</t>
  </si>
  <si>
    <t>端的にわかりやすくFBしてもらえたので良かったです</t>
  </si>
  <si>
    <t>001268</t>
  </si>
  <si>
    <t>木村 兼人</t>
  </si>
  <si>
    <t>NextJsの基礎を身につけることができました、業務に活かせればと思います。</t>
  </si>
  <si>
    <t>ご対応ありがとうございました。</t>
  </si>
  <si>
    <t>齋藤和久</t>
  </si>
  <si>
    <t>教材のPDFにおいて、一部作っているものと整合性がとれない部分や説明が足りない箇所があったため、エンジニア初心者では初級編でもつまるところが多々あるのではと感じました。</t>
  </si>
  <si>
    <t>小野花菜</t>
  </si>
  <si>
    <t>一度JSで作ってからreactを導入するという順序踏んで学ぶことができたので、学習がしやすかったです。</t>
  </si>
  <si>
    <t>合否の結果や気になったことなど簡潔に伝えていただいたので、わかりやすかったです。</t>
  </si>
  <si>
    <t>毛利 彩乃</t>
  </si>
  <si>
    <t>【感想】
・触ったことのなかったリソースを構築することができてためになった
・「実践研修問題」のテキストが詳しかったため、「中級」と呼ぶにはテキストが易しかったように思います。
「要件が出ていて、それに対して設計・環境構築」を実施するような内容であると実務により生きる流れとなり、よりよいと感じた（ボリュームと難易度の兼ね合いは難しいので、現状が適切ということもあるのかもしれません……）
【要望】
・サブネット範囲の重複や手順書でのGitコマンドが不十分であった箇所など、一部不備が見受けられたため、問題・手順書のテストや精査をお願いしたいと感じた</t>
  </si>
  <si>
    <t>私がフローを理解していなかったために面談では提出物のチェックシートが提出できておらず申し訳ございませんでした。
終始話しやすい雰囲気でわからなかった部分の質問などもさせていただきました。
お時間をいただきありがとうございました。
「事前準備」でcloudformationスタックからデプロイしたEC2を一度「停止」するとCFnからEC2へのアクセスが通らなくなり「504エラー」となってしまう件についてご質問させていただき、お持ち帰りいただくこととなりました。
貴社側でも事象が再現されるかどうか・再現される場合は何が原因であったのか、後日でけっこうですので教えていただけますと幸いです。</t>
  </si>
  <si>
    <t>大木祐太</t>
  </si>
  <si>
    <t>一部間違っているところがあったので、今後に向けてさらにブラッシュアップいただけると嬉しいです。</t>
  </si>
  <si>
    <t>丁寧にご対応いただきありがとうございました。</t>
  </si>
  <si>
    <t>山本修輔</t>
  </si>
  <si>
    <t>上級者編とかあれば、研修を受けてみたいと思った。</t>
  </si>
  <si>
    <t>特になし。</t>
  </si>
  <si>
    <t>村上雄紀</t>
  </si>
  <si>
    <t>触れた事のないサービスに触れる事ができ実際に手を動かすことで理解が深まりました。再度、Udemyでコンテナを学び直して研修を再実施することでより深く理解できる様に致します。</t>
  </si>
  <si>
    <t>お忙しい中、貴重な時間を頂戴し誠にありがとうございました。
FBでお聞きしたCloudFrontのオリジンに対する内容に進捗ありましたらご教示いただけますと幸いです。
よろしくお願いいたします。</t>
  </si>
  <si>
    <t>Neti Rohiniesh</t>
  </si>
  <si>
    <t>N/A</t>
  </si>
  <si>
    <t>丁寧なフィードバックと助言、ありがとうございました。</t>
  </si>
  <si>
    <t>伊藤颯佑</t>
  </si>
  <si>
    <t>・教材のテキストに不備や不親切だと感じる点がいくつかあった。
また、教材の配布の遅れや修正が多々あったが、完了期日は据え置きのままであったりした関係で研修に取り組む時間を確保するのが難しかった。
・実施するAWS環境すら決まっていない状態で研修が開始された。
受講することが決まった後に、自分のセクション環境にてリソース構築することが決定したため、リソース作成のコストの負担等はどう取り決められていたのか気になった。
・Slackの問い合わせフォームにて、主に研修の進め方に関する疑問点を解消できるのは良かった。
・Excelでの成果物提出を実施したが、成果物として意味があるのかやや疑問だった。
疑問点など記載する欄が用意されていたが、面談時には自力で解決をしている状態であったため、あまり相談することがなかった。課題が問題なく終了していることもあり、特に問題なさそうですね。。といったやり取りで終えてしまった。（実際に15分ほどで面談は終了）</t>
  </si>
  <si>
    <t xml:space="preserve">
</t>
  </si>
  <si>
    <t>実務でReact / Next.js は使ったことがなかったので今回手を動かしてアプリを作ることができてよかった。
中級くらいならDBやOAuth使った認証も加えた課題にしてよかった気がします。</t>
  </si>
  <si>
    <t>デザインに気になるところがあると否定から入るのでイライラした。
褒めてから指摘するなどした方がいい。</t>
  </si>
  <si>
    <t>毛利 彩乃（要望を追記して再提出させていただきます）</t>
  </si>
  <si>
    <t>〈研修内容への要望〉
前回の回答では、要望面含めてあまり具体的な記載をしていなかったと記憶しますため、
私が実施して気になった内容と要望を追加で記載させていただきます。
⚫︎検証用の環境を構築するためのCloudFormationのコードの改善
　- ElasticIPアドレスが振られていないため、再度起動した際にCFのオリジンとEC2のパブリックDNSが不一致となる
　- nginxの自動起動が設定されていない
→これにより、一度EC2を停止し、再度起動して研修を再開しようとした際にCF→EC2の接続が行えませんでした。
　この構成ですとEC2を停止することは十分にありうると考えますため、コードを改善いただきたいです。
この内容は事前準備であり、本題とは逸れる内容であるため、主題に集中するためにきちんと整備されていてほしいと感じます。
⚫︎サブネットのNWアドレスの重複の改善
→NWの重複があり、テキストの指示通りのNW範囲でサブネットを切れない
いち受講者としての所感ですが、特にNW不一致については「もしかするとこれは事前に必要なテストがなされていない教材なのかもしれない」と感じてしまいました。
⚫︎研修そのものの終わり方の改善
「面談を完了すれば終わり」ではなく、修了証のようなものがほしいです。
こういった内容の研修を受けた、こんなリソースを触ってこんなことができるようになった、と研修の内容がまとめられ、社内のオフィシャルな記録に残せるようなものをイメージしています。
よろしくお願いいたします。</t>
  </si>
  <si>
    <t>前回提出させていただいた通りです。ご対応ありがとうございます。</t>
  </si>
  <si>
    <t>e-learningのボリュームが多かったので、既に習得ずみのものは跳ばして受講した</t>
  </si>
  <si>
    <t>フィードバックで適切な指摘をいただいた</t>
  </si>
  <si>
    <t>今回はNext.jsの内部に作ったAPIを使っていましたが、外部APIを使った問題もあるとなお良かったかなと思います。</t>
  </si>
  <si>
    <t>丁寧にフィードバックして頂き、ありがとうございました！</t>
  </si>
  <si>
    <t>坂　翔太</t>
  </si>
  <si>
    <t>eslintやprettierなども研修内容にあるとより実務レベルの経験を詰めると思いました。</t>
  </si>
  <si>
    <t>質問に丁寧に回答していただき、ありがとうございました。</t>
  </si>
  <si>
    <t>001162</t>
  </si>
  <si>
    <t>馬場拓也</t>
  </si>
  <si>
    <t>小川 雅大 (フロントエンドエンジニア実践研修(Vue.js) 初級編、中級編担当)</t>
  </si>
  <si>
    <t>ワークフロー「成果物の提出」で1on1フィードバック予約日を入力しましたが、これについて特に音沙汰がなく、別途1on1予約しないといけないのがわかりづらかったです</t>
  </si>
  <si>
    <t>要件と問題のPDFもわかりやすく記載されており、進めやすかったです</t>
  </si>
  <si>
    <t>並木 柊斗</t>
  </si>
  <si>
    <t>研修問題が分かりやすく、やっていく中で自信がつきました。ありがとうございます</t>
  </si>
  <si>
    <t>特にございません</t>
  </si>
  <si>
    <t>島仲 立希</t>
  </si>
  <si>
    <t>業務では設定することのない操作を実施できたので学びになった</t>
  </si>
  <si>
    <t>親身に対応いただけた</t>
  </si>
  <si>
    <t>最後に実施したヘルスステータスは問題なく「Healthy」となりました</t>
  </si>
  <si>
    <t>梶達也</t>
  </si>
  <si>
    <t>他の言語も学んでみたい</t>
  </si>
  <si>
    <t>なし</t>
  </si>
  <si>
    <t>鎌倉なつの</t>
  </si>
  <si>
    <t>石川 耕平</t>
  </si>
  <si>
    <t>Vue.js は使ったことがありましたが、Reactは使ったことなかったので今回受講することにした。
システムシェアードさんの研修に興味があったので受講することにした。
TailWindCSSに慣れていなかったので、classの設定に苦労した。</t>
  </si>
  <si>
    <t>0977</t>
  </si>
  <si>
    <t>田村直也</t>
  </si>
  <si>
    <t>講師の方のフィードバックはあまり参考にならなかった。もう少しコードレベルでのフィードバックを頂けた方が参考になると思いました。</t>
  </si>
  <si>
    <t>鴨志田公佑</t>
  </si>
  <si>
    <t>こちら側では発生してないが、講師の方側でアプリ起動時にエラーが発生してしまったため、フィードバックは二回目の提出時に行うことになりました。</t>
  </si>
  <si>
    <t>ありがとうございました。</t>
  </si>
  <si>
    <t>米田 和輝</t>
  </si>
  <si>
    <t>Google Cloud の主要サービスを Terraform のモジュール構成で設計・構築する流れを経験できたため、今後の案件にも活かすことができる汎用的なスキルを身につけることができたと思います。</t>
  </si>
  <si>
    <t>提出した成果物に対して詳細にレビューいただき、疑問点の解消ができました。</t>
  </si>
  <si>
    <t>内藤 宏治</t>
  </si>
  <si>
    <t>どう設計するのがベターだったのかを見たいので、完成したリポジトリのリンクなどが教材下部にあると嬉しかったです。</t>
  </si>
  <si>
    <t>非常に緊張してたので、Reactの分野に関して講師なのでもっと自信を持っていいと思いました！</t>
  </si>
  <si>
    <t>001324</t>
  </si>
  <si>
    <t>藤原 康敬</t>
  </si>
  <si>
    <t>アプリを稼働させる基盤構築に加え、サードパーティ製品（例：Datadog、New Relic、Prometheus/Grafanaなど）を用いたオブザーバビリティ強化についても学びたいです。特に、APM（Application Performance Monitoring）ツールを導入し、アプリケーションのパフォーマンス分析やボトルネックの特定を行う実践的な演習があると、より現場で役立つと感じます。</t>
  </si>
  <si>
    <t>チェックシートに記載していなかった疑問点等に関しても回答してくださり、ありがとうございました。</t>
  </si>
  <si>
    <t>叶内郁也</t>
  </si>
  <si>
    <t>next.jsやreduxは実践的に初めて学べたため、今後のモデルとして役立ついい経験となりました。</t>
  </si>
  <si>
    <t>特にはありません。</t>
  </si>
  <si>
    <t>最後の課題の内容が少しボリューミーだった</t>
  </si>
  <si>
    <t>適切にアドバイスをもらった</t>
  </si>
  <si>
    <t>橋本 聡太</t>
  </si>
  <si>
    <t>初級編にしては難易度が高いと感じたので、構築リソースを見直すか、研修の教材をより丁寧すると良いと思いました。</t>
  </si>
  <si>
    <t>ご丁寧に説明いただきありがとうございます。</t>
  </si>
  <si>
    <t>第2期</t>
  </si>
  <si>
    <t>吉田 夢来</t>
  </si>
  <si>
    <t>バックエンドエンジニア実践研修(PHP) 初級編</t>
  </si>
  <si>
    <t>相馬 大智 (バックエンドエンジニア実践研修(PHP) 初級編担当)</t>
  </si>
  <si>
    <t>Laravelの課題に取り組む中でルーティングやMVCモデルの基礎を体系的に学ぶことができました。これにより、案件に参画する上での基礎力をしっかりと身につけることができたと感じています。</t>
  </si>
  <si>
    <t>チーム開発におけるコーディングで意識すべき点や、AIを活用した効率的なコーディング方法など、限られた時間の中で非常に実践的かつ多様な知識を教えていただきました。この機会を活かし、今後エンジニアとしてさらに成長していきたいと強く思いました。</t>
  </si>
  <si>
    <t>澤田 翼</t>
  </si>
  <si>
    <t>GCを体系的に学ぶ機会が欲しかったためその点においては良かったし課題のレベル感や
題材も適切なものであったと思う。
ただ初級でも成果物作成においてterraformを使う研修であることを事前に知らされていなかったためその点は面食らった。多少GCを学ぶハードルにもなる点のため、概要で記載し事前に通知すべきと思う。
また、10-12月期の研修であるにもかかわらず1on1が11月中旬に1回のみしか設定されないことはいただけないと感じた。</t>
  </si>
  <si>
    <t>適切なアドバイス、ありがとうございました。</t>
  </si>
  <si>
    <t>001151</t>
  </si>
  <si>
    <t>大山晃介</t>
  </si>
  <si>
    <t>ec2で実行するコマンドなど、手順書と問題で異なっていたので差異がないようにしてほしい。</t>
  </si>
  <si>
    <t>真摯にご対応いただきました。</t>
  </si>
  <si>
    <t>000023</t>
  </si>
  <si>
    <t>齋藤 充裕</t>
  </si>
  <si>
    <t>バックエンドエンジニア実践研修(Python) 初級編</t>
  </si>
  <si>
    <t>友井川 翔太 (バックエンドエンジニア実践研修(Python) 初級編、中級編担当)</t>
  </si>
  <si>
    <t>1on1でとても丁寧に解説してくれてわかりやすかったです。</t>
  </si>
  <si>
    <t>入道裕康</t>
  </si>
  <si>
    <t>長沢 宏彦</t>
  </si>
  <si>
    <t>研修の流れは大変わかりやすいと思いました。ただ講座案内の際にudemyの内容を把握していることとするのは前提知識として過剰すぎるように感じました。
また、udemyの講座では最新のreactではviteでプロジェクト作成するように訂正が入っていたところ、研修内ではエントリーポイントがindex.jsxで名付けられているなど現在非推奨のCRAで実装する想定になっていそうな印象を受け混乱しました。</t>
  </si>
  <si>
    <t>参考になりました。</t>
  </si>
  <si>
    <t>松岡沙貴</t>
  </si>
  <si>
    <t>実務にすぐ活かせる内容が多く、有意義な研修でした。</t>
  </si>
  <si>
    <t>質問しやすい雰囲気を作ってくださり、安心して受講できました。</t>
  </si>
  <si>
    <t>坂井田啓太</t>
  </si>
  <si>
    <t>今まで負入れたことないReactについて適切な難易度で学習することができたと感じます。</t>
  </si>
  <si>
    <t>とても丁寧にアドバイスいただき、初めての React 学習でしたが自信を持つことができました。
今後は中級にも取り組む予定ですので、また機会がありましたらよろしくお願いいたします。</t>
  </si>
  <si>
    <t>001335</t>
  </si>
  <si>
    <t>福岡駿</t>
  </si>
  <si>
    <t>Vueの基礎的な内容を用いて一つ動くものを作ることができとても良い経験になりました</t>
  </si>
  <si>
    <t>本研修の対応部分だけでなく実務観点でどう拡張していくと良いか教えていただきとても参考になりました</t>
  </si>
  <si>
    <t>学びの機会を与えていただける大変有意義な研修になっています。スケジュール調整や申請方法等で運営の方（特に張さん）が大変そうですが、すぐにレスポンスいただけて大変助かりました。ありがとうございました。</t>
  </si>
  <si>
    <t>フィードバックでは実践するにあたって注意すべき点をご説明いただき、大変役に立ちました、ありがとうございました。</t>
  </si>
  <si>
    <t>横山 奏人</t>
  </si>
  <si>
    <t>バックエンドエンジニア実践研修(PHP) 中級編</t>
  </si>
  <si>
    <t>今回の成果物に関してですが、TODOアプリの実装は配属先の研修と類似していたため、受講者側で作成する成果物を複数から選択する方針もいいかもしれないと感じました。</t>
  </si>
  <si>
    <t>この度は成果物の確認およびフィードバックの実施をいただき、誠にありがとうございました。
短い時間ではありましたが、成果物だけでなく、開発エンジニアとしてキャリアを進める上で疑問や不安に感じていたことについてもお話を聞いていただけて良かったです。
引き続き精進していきます。ありがとうございました。</t>
  </si>
  <si>
    <t>谷本佳史</t>
  </si>
  <si>
    <t>天野 盛介</t>
  </si>
  <si>
    <t>時間がない中だったが、AI活用や資料の丁寧さ、スタッフの皆さんのフォローが充実していて達成できました。ありがとうございました。</t>
  </si>
  <si>
    <t>面談当日、講師の方が時間の勘違いで遅刻されていたので、気をつけた方がいいかと思いました。また、終了時間もこちらから伝えないと意識してなさそうだったのは、よろしくないかと思いました。質問内容については、ややこしい質問にも真摯にお答えいただいたように感じます。</t>
  </si>
  <si>
    <t>山本麗</t>
  </si>
  <si>
    <t>コンテナ以外の知識も身につけられる充実した研修でした。</t>
  </si>
  <si>
    <t>私の質疑に対してとてもスマートに回答していただきありがとうございました。</t>
  </si>
  <si>
    <t>001436</t>
  </si>
  <si>
    <t>小宮 愛子</t>
  </si>
  <si>
    <t>作業手順書においては、何のためにこの作業をするのか、目的などをもう少し細かい記載がああると親切だと感じた。また、</t>
  </si>
  <si>
    <t>成果物として提出するチェックシートですが、面談時にしっかりみていないのかな？と感じ、提出する意味はあったのか少し疑問に思いました。</t>
  </si>
  <si>
    <t>冨田和也</t>
  </si>
  <si>
    <t>000977</t>
  </si>
  <si>
    <t>インフラはなかなか自分で手を動かすのはハードルがあったため勉強になった</t>
  </si>
  <si>
    <t>成岡 匠</t>
  </si>
  <si>
    <t>普段触らないような領域を経験できてよかったです。</t>
  </si>
  <si>
    <t>親切に対応してくださいました。ありがとうざいました。</t>
  </si>
  <si>
    <t>亀田奈々子</t>
  </si>
  <si>
    <t>インフラ領域を主担当としていますが、アプリケーションのビルドやコード管理まで踏み込んで学習できたのが非常に良かったです。 逆にアプリケーション担当の方が受講しても、サーバー構成やネットワークなどのインフラ知識を体系的に習得できるため、職種を問わず非常に学びの多い研修だと思います。</t>
  </si>
  <si>
    <t>CognitoやAPIGatewayの理解が浅いのでそちらの研修も用意していただけると嬉しいです。</t>
  </si>
  <si>
    <t>上村 直也</t>
  </si>
  <si>
    <t>実践研修の課題を通して、Flutterに関する基礎的な知識と技術を体系的に学ぶことができました。</t>
  </si>
  <si>
    <t>1on1フィードバックを通してflutter課題を進める中での気になる点だけでなく、業務におけるAI利用などについても知識についても深めることができ、大変勉強になりました。</t>
  </si>
  <si>
    <t>須永 康介</t>
  </si>
  <si>
    <t>柴﨑 良平</t>
  </si>
  <si>
    <t>実践的な内容で、実務でも試してみたいと思いました。学習内容のさらに応用や発展的な実装例もあると、今後のスキルアップの指針として役に立つのではないかと思いました。</t>
  </si>
  <si>
    <t>丁寧でわかりやすいフィードバックをいただけました。</t>
  </si>
  <si>
    <t>長谷 優作</t>
  </si>
  <si>
    <t>ありがとうございました！</t>
  </si>
  <si>
    <t>Next.jsとReduxでモダンな開発技術を体系的に学べました。</t>
  </si>
  <si>
    <t>こちらの回線状況が悪く、お時間を取らせてしまい申し訳ありませんでした。
そのような中でも、コードレビューや実際の動作確認、また質問事項についても丁寧にご対応いただき、ありがとうございました。</t>
  </si>
  <si>
    <t>佐山 次巳</t>
  </si>
  <si>
    <t>テストの部分について、テストファイルを __tests__ フォルダに配置する方法が最初に紹介されていますが、テストファイルを専用のフォルダに集めて管理する方法も教えて頂けると良かった。</t>
  </si>
  <si>
    <t>丁寧に解説と不明点に答えて頂き、助かりました。</t>
  </si>
  <si>
    <t>齋藤佑樹</t>
  </si>
  <si>
    <t>実際のプロジェクトで活かせる内容だと感じました。</t>
  </si>
  <si>
    <t>拡張機能を教えていただけてよかったです。ありがとうございました。</t>
  </si>
  <si>
    <t>鶴若大輔</t>
  </si>
  <si>
    <t>教材のテキストをコピー＆ペーストすると変な部分で改行が入るので項目をチェックしつつ作業をする時にやりにくかった</t>
  </si>
  <si>
    <t>菊地修司</t>
  </si>
  <si>
    <t>小野 広平</t>
  </si>
  <si>
    <t>フィードバック時にお伝えした通りです</t>
  </si>
  <si>
    <t>001336</t>
  </si>
  <si>
    <t>水野 雄貴</t>
  </si>
  <si>
    <t>CFnとTerraformの両方のIaCを学べるのは非常に良い経験になりました。</t>
  </si>
  <si>
    <t>疑問点についてもお答えしていただけたので分かりやすかったです。</t>
  </si>
  <si>
    <t>水野 永遠</t>
  </si>
  <si>
    <t>AWSを扱うインフラエンジニアとしての基礎的な知識を網羅できたと感じます
CloudWatchを使用したメトリクスに応じてアラートを発報するという経験を積むことができたのは今後役に立つ可能性があると感じました。</t>
  </si>
  <si>
    <t>特にないです。</t>
  </si>
  <si>
    <t>佐久間陵河</t>
  </si>
  <si>
    <t>普段実務で経験できないようなリソースを扱えたことが良かったです。</t>
  </si>
  <si>
    <t>Wordpressを使用したwebサイトをホストする方法以外にも、S3を使用してホストする手法が主流になってきているといった情報を教えていただいたので調べてみようと思いました。</t>
  </si>
  <si>
    <t>永畑 潤也</t>
  </si>
  <si>
    <t>本日はFBを頂きまして、ありがとうございました。</t>
  </si>
  <si>
    <t>藤原宏美</t>
  </si>
  <si>
    <t>期日が短めだと感じました。</t>
  </si>
  <si>
    <t>より突っ込んだ技術的な説明をいただけて良かったです。</t>
  </si>
  <si>
    <t>0109</t>
  </si>
  <si>
    <t>永岡鼓子</t>
  </si>
  <si>
    <t>永谷 裕子</t>
  </si>
  <si>
    <t>３人チームが1番話のバランス的に良さそうと思いました。</t>
  </si>
  <si>
    <t>ご自身の体験などご経験が豊富でありがたい話を聞けました。</t>
  </si>
  <si>
    <t>岩塚春樹</t>
  </si>
  <si>
    <t>豊富な経験と確かな知識に基づいた研修で勉強になった。</t>
  </si>
  <si>
    <t>講師の永谷さんの人柄が良く、研修内容が頭に入りやすかったです。ありがとうございました。</t>
  </si>
  <si>
    <t>岩東雄大</t>
  </si>
  <si>
    <t>休憩をもう少しこまめにほしい
aiを使ったpmの進め方も将来学びたい</t>
  </si>
  <si>
    <t>一番苦労したプロジェクトの話などを聞きたいです</t>
  </si>
  <si>
    <t>城戸咲恵</t>
  </si>
  <si>
    <t>自分のPMとしての技量や経験に不安があったが、体系的な学びを得ることで、自信や今後の方向性の気づきにつながる大変良い機会でした。</t>
  </si>
  <si>
    <t>永谷講師の経験ベースでの話や、例え話のおかげでより講義の内容の理解が深まりました。今日学んだことを自分のチームのメンバーにも伝えていきたいなと思いました。
ありがとうございました！</t>
  </si>
  <si>
    <t>001533</t>
  </si>
  <si>
    <t>篠子千春</t>
  </si>
  <si>
    <t>グループワークがあってよかった</t>
  </si>
  <si>
    <t>ウィットに富んでいた方で楽しかった</t>
  </si>
  <si>
    <t>濱崎祐輔</t>
  </si>
  <si>
    <t>実践的に使える知識を学ぶことが出来た
規模は小さいがチームを管理する立場なので今回学んだこと、特にコミュニケーションとコントロールの部分に注力したい</t>
  </si>
  <si>
    <t>ご経験踏まえ楽しく、飽きずに2日間学べました
また機会があれば教えて頂きたい思います
今後pmに関する知識を深めるにあたり、気になることはどんどん質問させて頂きます</t>
  </si>
  <si>
    <t>林田玲音</t>
  </si>
  <si>
    <t>自分自身が何となくで実施していたマネジメントっぽいことを、何が正解か良くなかったのか理解できてとても良かったです。
自分自身がどういうタイプかの理解にも役立ちました。</t>
  </si>
  <si>
    <t>長年の経験から、PMに関する色んな問いに対して回答をいただけたのでとても良かったです。</t>
  </si>
  <si>
    <t>天野 典昭</t>
  </si>
  <si>
    <t>案件でマネジメントタスクを行うことはありましたが、きちんと学ぶ機会はなかったため、実践のワークを交えてより理解を深めることができたところはよかったと思います。</t>
  </si>
  <si>
    <t>実際の体験談を交えて説明頂いたところはより分かりやすかったと思います。</t>
  </si>
  <si>
    <t>秋葉大輔</t>
  </si>
  <si>
    <t>開始前は書面での実施に煩わしさを感じていましたが、グループワークなどは楽しくできたので、結果良かったと思いました</t>
  </si>
  <si>
    <t>二日間ありがとうございました！
実際の仕事でも使えそうな知識もいろいろ教えていただき大変参考になりました</t>
  </si>
  <si>
    <t>野原崇</t>
  </si>
  <si>
    <t>ボリューム感は適切と感じる。</t>
  </si>
  <si>
    <t>色々話せるフレンドリーな雰囲気でよかった。</t>
  </si>
  <si>
    <t>0625</t>
  </si>
  <si>
    <t>三好真里絵</t>
  </si>
  <si>
    <t>個人のペースで学習を進められるスタイルは業務都合と調整しやすくていいと思うのですが、後回しになってしまったり、前回までの学習を忘れてしまったりなどしてなかなかスムーズに学習できなかったタイミングもあったので、
講師とハンズオンで一緒に学んでいく機会や会話・質問しながら進めていくスタイル(短期集中型？)があるといいなと思いました。</t>
  </si>
  <si>
    <t>体裁的なことだけでなく、「実務ではこういったケースが多い」といった情報や、「どうすればこの不備に気づくことができるのか」といったも含めてご教授いただけたので、イメージも掴みやすく、実際の現場で役立つ知識を得ることができました。
単にミスを指摘するだけでなく、実際の現場で経験されてきた方だからこそ、「なかなか気づきにくいところですが、、」「納期が近いとこうしてしまうこともありますが、、」といった形で、生のエンジニアに寄り添った話し方をしていただけたので、安心してフィードバックを受けることができました。
また、なかなか他社のエンジニアの方と会話する機会がないので、課題のフィードバック以外についても会話していただけて大変ありがたかったです。
特に、AIが進化していく中でのこれからのスキルアップ方針についてもお話していただけて、自分の今後の動きを具体的にイメージすることができたのは大きな収穫となり有意義な時間になりました。
その分、30分という時間は短かかったのですが、ご厚意で少し時間を延長していただき、真摯に寄り添って会話をしてくださったこと大変感謝しております。</t>
  </si>
  <si>
    <t>設楽淳太</t>
  </si>
  <si>
    <t>野川 錦策</t>
  </si>
  <si>
    <t>チェックリスト（小テスト）みたいなもので、なぜそうなるかみたいなものがあると理解がさらに深まりそうと思いました。</t>
  </si>
  <si>
    <t>スムーズに対応してもらいました</t>
  </si>
  <si>
    <t>実践的な構成図を作成するという研修で、とても歯ごたえがありました。</t>
  </si>
  <si>
    <t>とても丁寧に解説をいただけて大変ありがたかったです。</t>
  </si>
  <si>
    <t>丸山 薫平</t>
  </si>
  <si>
    <t>もう少し現場向けにすぐに使えるリソースを含めてほしい</t>
  </si>
  <si>
    <t>良い方でした</t>
  </si>
  <si>
    <t>業務に必要な内容は網羅できていたと思うので有意義でした。</t>
  </si>
  <si>
    <t>フィードバックもわかりやすく、対応も丁寧でした。ありがとうございました。</t>
  </si>
  <si>
    <t>001510</t>
  </si>
  <si>
    <t>小山朔弥</t>
  </si>
  <si>
    <t>ワークフローにてZIPファイルを提出できるようにしてほしい</t>
  </si>
  <si>
    <t>米倉秀俊</t>
  </si>
  <si>
    <t>学習するきっかけにはなったのだが、あまり講師の方と話す機会が無く、有償の研修の意義をあまり感じなかった</t>
  </si>
  <si>
    <t>狩田鴻輝</t>
  </si>
  <si>
    <t>今後、案件でのニーズが強いフロント言語の習得の第一歩目として今回はReact初級を受講させて頂きました。
フロントの知識は、実務でたまに使うJSと少しだけVueを知っている程度でしたが、今回でReactでの簡単なアプリ実装と、TypeScriptでの型定義＋自動テストを体系的に学ぶことが出来たため案件での実装作業がよりスムーズに行えるようになったと思います。
また、FB面談日程の変更など、急な対応にも迅速に答えてくださりありがとうございました。</t>
  </si>
  <si>
    <t>まずは、講師の長沢様、このような貴重な機会を頂きましてありがとうございました。
感想としまして、FBはでReact研修の内容だけでなく「フロントエンド実装のアンチパターン」や「AI活用や心構え」等と、エンジニアとしてより一歩成長できる部分を楽しく話させて頂いたことで、より技術習得に対してモチベーションが上がりました。
また、zoomに参加するまでは、講師の方が他人行儀で質問もしにくい雰囲気なのかな・・と少し緊張していたのですが、開幕から凄く話しやすい雰囲気作りをして頂いたことで、短時間ではありましたがすごく楽しい一時を過ごせました。
今後も、React中級や他言語のプログラムにも挑戦させて頂きたく思っておりますので、その際はよろしくお願いいたします。</t>
  </si>
  <si>
    <t>研修名</t>
  </si>
  <si>
    <t>総計</t>
  </si>
  <si>
    <t>理解できていない</t>
  </si>
  <si>
    <t>理解できている</t>
  </si>
  <si>
    <t>十分に理解できている</t>
  </si>
  <si>
    <t>基本情報</t>
  </si>
  <si>
    <t>アンケート集計</t>
  </si>
  <si>
    <t>コース名</t>
  </si>
  <si>
    <t>受講者数</t>
  </si>
  <si>
    <t>研修満足度</t>
  </si>
  <si>
    <t>研修必要度</t>
  </si>
  <si>
    <t>研修理解度</t>
  </si>
  <si>
    <t>講師評価</t>
  </si>
  <si>
    <t>教材評価</t>
  </si>
  <si>
    <t>バックエンドエンジニア実践研修(Python) 中級編</t>
  </si>
  <si>
    <t>日付</t>
  </si>
  <si>
    <t>回答者数</t>
  </si>
  <si>
    <t>COUNTA of 氏名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</si>
</sst>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6" formatCode="m/d/yyyy\ h:mm:ss"/>
    <numFmt numFmtId="177" formatCode="#"/>
    <numFmt numFmtId="178" formatCode="0.00&quot;点&quot;"/>
    <numFmt numFmtId="179" formatCode="0&quot;名&quot;"/>
    <numFmt numFmtId="180" formatCode="#,##0.0"/>
    <numFmt numFmtId="181" formatCode="yyyy/mm/dd"/>
  </numFmts>
  <fonts count="6" x14ac:knownFonts="1">
    <font>
      <sz val="10"/>
      <color rgb="FF000000"/>
      <name val="Arial"/>
      <scheme val="minor"/>
    </font>
    <font>
      <sz val="10"/>
      <color theme="1"/>
      <name val="Arial"/>
      <family val="2"/>
      <scheme val="minor"/>
    </font>
    <font>
      <b/>
      <sz val="10"/>
      <color rgb="FF000000"/>
      <name val="Arial"/>
      <family val="2"/>
      <scheme val="minor"/>
    </font>
    <font>
      <b/>
      <sz val="11"/>
      <color rgb="FFFFFFFF"/>
      <name val="Calibri"/>
      <family val="2"/>
    </font>
    <font>
      <sz val="10"/>
      <name val="Arial"/>
      <family val="2"/>
    </font>
    <font>
      <sz val="6"/>
      <name val="Arial"/>
      <family val="3"/>
      <charset val="128"/>
      <scheme val="minor"/>
    </font>
  </fonts>
  <fills count="8">
    <fill>
      <patternFill patternType="none"/>
    </fill>
    <fill>
      <patternFill patternType="gray125"/>
    </fill>
    <fill>
      <patternFill patternType="solid">
        <fgColor rgb="FFFFFF00"/>
        <bgColor rgb="FFFFFF00"/>
      </patternFill>
    </fill>
    <fill>
      <patternFill patternType="solid">
        <fgColor rgb="FF0B5394"/>
        <bgColor rgb="FF0B5394"/>
      </patternFill>
    </fill>
    <fill>
      <patternFill patternType="solid">
        <fgColor rgb="FF980000"/>
        <bgColor rgb="FF980000"/>
      </patternFill>
    </fill>
    <fill>
      <patternFill patternType="solid">
        <fgColor rgb="FFD0E0E3"/>
        <bgColor rgb="FFD0E0E3"/>
      </patternFill>
    </fill>
    <fill>
      <patternFill patternType="solid">
        <fgColor rgb="FFD9EAD3"/>
        <bgColor rgb="FFD9EAD3"/>
      </patternFill>
    </fill>
    <fill>
      <patternFill patternType="solid">
        <fgColor rgb="FFB7B7B7"/>
        <bgColor rgb="FFB7B7B7"/>
      </patternFill>
    </fill>
  </fills>
  <borders count="18">
    <border>
      <left/>
      <right/>
      <top/>
      <bottom/>
      <diagonal/>
    </border>
    <border>
      <left/>
      <right/>
      <top/>
      <bottom style="thin">
        <color rgb="FFFFFFFF"/>
      </bottom>
      <diagonal/>
    </border>
    <border>
      <left/>
      <right style="thin">
        <color rgb="FFFFFFFF"/>
      </right>
      <top/>
      <bottom style="thin">
        <color rgb="FFFFFFFF"/>
      </bottom>
      <diagonal/>
    </border>
    <border>
      <left style="thin">
        <color rgb="FFFFFFFF"/>
      </left>
      <right/>
      <top/>
      <bottom style="thin">
        <color rgb="FFFFFFFF"/>
      </bottom>
      <diagonal/>
    </border>
    <border>
      <left style="thin">
        <color rgb="FFFFFFFF"/>
      </left>
      <right style="thin">
        <color rgb="FFFFFFFF"/>
      </right>
      <top style="thin">
        <color rgb="FFFFFFFF"/>
      </top>
      <bottom/>
      <diagonal/>
    </border>
    <border>
      <left style="thin">
        <color rgb="FFFFFFFF"/>
      </left>
      <right style="thin">
        <color rgb="FF000000"/>
      </right>
      <top style="thin">
        <color rgb="FFFFFFFF"/>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49">
    <xf numFmtId="0" fontId="0" fillId="0" borderId="0" xfId="0"/>
    <xf numFmtId="0" fontId="1" fillId="0" borderId="0" xfId="0" applyFont="1" applyAlignment="1">
      <alignment horizontal="left" vertical="center" wrapText="1"/>
    </xf>
    <xf numFmtId="0" fontId="2" fillId="2" borderId="0" xfId="0" applyFont="1" applyFill="1" applyAlignment="1">
      <alignment horizontal="left" vertical="center" wrapText="1"/>
    </xf>
    <xf numFmtId="0" fontId="1" fillId="0" borderId="0" xfId="0" applyFont="1" applyAlignment="1">
      <alignment wrapText="1"/>
    </xf>
    <xf numFmtId="176"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wrapText="1"/>
    </xf>
    <xf numFmtId="0" fontId="1" fillId="0" borderId="0" xfId="0" quotePrefix="1" applyFont="1" applyAlignment="1">
      <alignment vertical="center"/>
    </xf>
    <xf numFmtId="0" fontId="1" fillId="0" borderId="0" xfId="0" applyFont="1"/>
    <xf numFmtId="0" fontId="3" fillId="3" borderId="4" xfId="0" applyFont="1" applyFill="1" applyBorder="1" applyAlignment="1">
      <alignment horizontal="center"/>
    </xf>
    <xf numFmtId="178" fontId="3" fillId="4" borderId="4" xfId="0" applyNumberFormat="1" applyFont="1" applyFill="1" applyBorder="1" applyAlignment="1">
      <alignment horizontal="center"/>
    </xf>
    <xf numFmtId="178" fontId="3" fillId="3" borderId="4" xfId="0" applyNumberFormat="1" applyFont="1" applyFill="1" applyBorder="1" applyAlignment="1">
      <alignment horizontal="center"/>
    </xf>
    <xf numFmtId="178" fontId="3" fillId="3" borderId="5" xfId="0" applyNumberFormat="1" applyFont="1" applyFill="1" applyBorder="1" applyAlignment="1">
      <alignment horizontal="center"/>
    </xf>
    <xf numFmtId="0" fontId="1" fillId="0" borderId="6" xfId="0" applyFont="1" applyBorder="1" applyAlignment="1">
      <alignment horizontal="center"/>
    </xf>
    <xf numFmtId="179" fontId="1" fillId="0" borderId="7" xfId="0" applyNumberFormat="1" applyFont="1" applyBorder="1" applyAlignment="1">
      <alignment horizontal="center"/>
    </xf>
    <xf numFmtId="180" fontId="1" fillId="0" borderId="7" xfId="0" applyNumberFormat="1" applyFont="1" applyBorder="1" applyAlignment="1">
      <alignment horizontal="center"/>
    </xf>
    <xf numFmtId="180" fontId="1" fillId="0" borderId="6" xfId="0" applyNumberFormat="1" applyFont="1" applyBorder="1" applyAlignment="1">
      <alignment horizontal="center"/>
    </xf>
    <xf numFmtId="0" fontId="1" fillId="0" borderId="0" xfId="0" applyFont="1" applyAlignment="1">
      <alignment horizontal="center"/>
    </xf>
    <xf numFmtId="176" fontId="1" fillId="0" borderId="0" xfId="0" applyNumberFormat="1" applyFont="1"/>
    <xf numFmtId="181" fontId="1" fillId="0" borderId="0" xfId="0" applyNumberFormat="1" applyFont="1"/>
    <xf numFmtId="0" fontId="1" fillId="5" borderId="0" xfId="0" applyFont="1" applyFill="1" applyAlignment="1">
      <alignment wrapText="1"/>
    </xf>
    <xf numFmtId="0" fontId="1" fillId="6" borderId="0" xfId="0" applyFont="1" applyFill="1" applyAlignment="1">
      <alignment wrapText="1"/>
    </xf>
    <xf numFmtId="0" fontId="1" fillId="7" borderId="6" xfId="0" applyFont="1" applyFill="1" applyBorder="1" applyAlignment="1">
      <alignment horizontal="center"/>
    </xf>
    <xf numFmtId="179" fontId="1" fillId="7" borderId="7" xfId="0" applyNumberFormat="1" applyFont="1" applyFill="1" applyBorder="1" applyAlignment="1">
      <alignment horizontal="center"/>
    </xf>
    <xf numFmtId="180" fontId="1" fillId="7" borderId="7" xfId="0" applyNumberFormat="1" applyFont="1" applyFill="1" applyBorder="1" applyAlignment="1">
      <alignment horizontal="center"/>
    </xf>
    <xf numFmtId="180" fontId="1" fillId="7" borderId="6" xfId="0" applyNumberFormat="1" applyFont="1" applyFill="1" applyBorder="1" applyAlignment="1">
      <alignment horizontal="center"/>
    </xf>
    <xf numFmtId="0" fontId="0" fillId="0" borderId="8" xfId="0" pivotButton="1" applyBorder="1"/>
    <xf numFmtId="0" fontId="0" fillId="0" borderId="9" xfId="0" applyBorder="1"/>
    <xf numFmtId="0" fontId="0" fillId="0" borderId="10" xfId="0" applyBorder="1"/>
    <xf numFmtId="0" fontId="0" fillId="0" borderId="8" xfId="0" applyBorder="1"/>
    <xf numFmtId="0" fontId="0" fillId="0" borderId="11" xfId="0" applyBorder="1"/>
    <xf numFmtId="0" fontId="0" fillId="0" borderId="12" xfId="0" applyBorder="1"/>
    <xf numFmtId="0" fontId="0" fillId="0" borderId="13" xfId="0" applyBorder="1"/>
    <xf numFmtId="0" fontId="0" fillId="0" borderId="15" xfId="0" applyBorder="1"/>
    <xf numFmtId="0" fontId="0" fillId="0" borderId="17" xfId="0" applyBorder="1"/>
    <xf numFmtId="0" fontId="0" fillId="0" borderId="17" xfId="0" pivotButton="1" applyBorder="1"/>
    <xf numFmtId="177" fontId="3" fillId="3" borderId="1" xfId="0" applyNumberFormat="1" applyFont="1" applyFill="1" applyBorder="1" applyAlignment="1">
      <alignment horizontal="center"/>
    </xf>
    <xf numFmtId="0" fontId="4" fillId="0" borderId="2" xfId="0" applyFont="1" applyBorder="1"/>
    <xf numFmtId="178" fontId="3" fillId="3" borderId="3" xfId="0" applyNumberFormat="1" applyFont="1" applyFill="1" applyBorder="1" applyAlignment="1">
      <alignment horizontal="center"/>
    </xf>
    <xf numFmtId="0" fontId="4" fillId="0" borderId="1" xfId="0" applyFont="1" applyBorder="1"/>
    <xf numFmtId="0" fontId="0" fillId="0" borderId="8" xfId="0" applyNumberFormat="1" applyBorder="1"/>
    <xf numFmtId="0" fontId="0" fillId="0" borderId="11" xfId="0" applyNumberFormat="1" applyBorder="1"/>
    <xf numFmtId="0" fontId="0" fillId="0" borderId="12" xfId="0" applyNumberFormat="1" applyBorder="1"/>
    <xf numFmtId="0" fontId="0" fillId="0" borderId="13" xfId="0" applyNumberFormat="1" applyBorder="1"/>
    <xf numFmtId="0" fontId="0" fillId="0" borderId="0" xfId="0" applyNumberFormat="1"/>
    <xf numFmtId="0" fontId="0" fillId="0" borderId="14" xfId="0" applyNumberFormat="1" applyBorder="1"/>
    <xf numFmtId="0" fontId="0" fillId="0" borderId="15" xfId="0" applyNumberFormat="1" applyBorder="1"/>
    <xf numFmtId="0" fontId="0" fillId="0" borderId="16" xfId="0" applyNumberFormat="1" applyBorder="1"/>
    <xf numFmtId="0" fontId="0" fillId="0" borderId="17" xfId="0" applyNumberFormat="1" applyBorder="1"/>
  </cellXfs>
  <cellStyles count="1">
    <cellStyle name="標準" xfId="0" builtinId="0"/>
  </cellStyles>
  <dxfs count="16">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アンケート結果-style" pivot="0" count="4" xr9:uid="{00000000-0011-0000-FFFF-FFFF00000000}">
      <tableStyleElement type="wholeTable" size="0" dxfId="15"/>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sayuki shitaya" refreshedDate="46219.590462152781" refreshedVersion="8" recordCount="136" xr:uid="{00000000-000A-0000-FFFF-FFFF00000000}">
  <cacheSource type="worksheet">
    <worksheetSource ref="A1:P137" sheet="アンケート結果"/>
  </cacheSource>
  <cacheFields count="16">
    <cacheField name="タイムスタンプ" numFmtId="176">
      <sharedItems containsSemiMixedTypes="0" containsNonDate="0" containsDate="1" containsString="0" minDate="2025-08-06T17:46:37" maxDate="2026-04-02T08:46:46"/>
    </cacheField>
    <cacheField name="社員番号" numFmtId="0">
      <sharedItems containsMixedTypes="1" containsNumber="1" containsInteger="1" minValue="149" maxValue="700793"/>
    </cacheField>
    <cacheField name="氏名" numFmtId="0">
      <sharedItems/>
    </cacheField>
    <cacheField name="研修名をお選び下さい。" numFmtId="0">
      <sharedItems count="15">
        <s v="プロジェクトマネージャー実践研修"/>
        <s v="フロントエンドエンジニア実践研修(React) 初級編"/>
        <s v="フロントエンドエンジニア実践研修(React) 中級編"/>
        <s v="クラウドインフラエンジニア実践研修(AWS) 初級編"/>
        <s v="システムエンジニア実践研修"/>
        <s v="クラウドインフラエンジニア実践研修(AWS) 中級編"/>
        <s v="クラウドインフラエンジニア実践研修(GC) 中級編"/>
        <s v="クラウドインフラエンジニア実践研修(GC) 初級編"/>
        <s v="フロントエンドエンジニア実践研修(Vue.js) 中級編"/>
        <s v="フロントエンドエンジニア実践研修(Vue.js) 初級編"/>
        <s v="スマホアプリエンジニア実践研修 中級編"/>
        <s v="スマホアプリエンジニア実践研修 初級編"/>
        <s v="バックエンドエンジニア実践研修(PHP) 初級編"/>
        <s v="バックエンドエンジニア実践研修(Python) 初級編"/>
        <s v="バックエンドエンジニア実践研修(PHP) 中級編"/>
      </sharedItems>
    </cacheField>
    <cacheField name="担当した講師名をお選び下さい。" numFmtId="0">
      <sharedItems/>
    </cacheField>
    <cacheField name="① 研修に満足しましたか？（全く思わない：1、思わない：2、思う：3、強く思う：4）" numFmtId="0">
      <sharedItems containsSemiMixedTypes="0" containsString="0" containsNumber="1" containsInteger="1" minValue="1" maxValue="4"/>
    </cacheField>
    <cacheField name="② 研修内容は理解出来ましたか？（全く理解出来ていない：1、理解出来ていない：2、理解出来ている：3、十分に理解出来ている：4）" numFmtId="0">
      <sharedItems containsSemiMixedTypes="0" containsString="0" containsNumber="1" containsInteger="1" minValue="2" maxValue="4" count="3">
        <n v="4"/>
        <n v="3"/>
        <n v="2"/>
      </sharedItems>
    </cacheField>
    <cacheField name="③ 研修で新たな学びは得られましたか？または必要な知識は得られましたか？（全く得られていない：1、得られていない：2、得られている：3、十分に得られている：4）" numFmtId="0">
      <sharedItems containsSemiMixedTypes="0" containsString="0" containsNumber="1" containsInteger="1" minValue="1" maxValue="4"/>
    </cacheField>
    <cacheField name="④ 研修内容のボリュームは適切でしたか？（全く適切ではない：1、適切ではない：2、適切である：3、十分に適切である：4）" numFmtId="0">
      <sharedItems containsSemiMixedTypes="0" containsString="0" containsNumber="1" containsInteger="1" minValue="1" maxValue="4"/>
    </cacheField>
    <cacheField name="⑤ 研修のテキスト、教材に対して満足しましたか？（全く思わない：1、思わない：2、思う：3、強く思う：4）" numFmtId="0">
      <sharedItems containsSemiMixedTypes="0" containsString="0" containsNumber="1" containsInteger="1" minValue="1" maxValue="4"/>
    </cacheField>
    <cacheField name="⑥ 講師の講義、あるいはフィードバックに対して満足しましたか？（全く思わない：1、思わない：2、思う：3、強く思う：4）" numFmtId="0">
      <sharedItems containsSemiMixedTypes="0" containsString="0" containsNumber="1" containsInteger="1" minValue="1" maxValue="4"/>
    </cacheField>
    <cacheField name="⑦ 講師は研修内容に関する知識を持っていましたか  ？（全く持っていない：1、持っていない：2、持っている：3、十分に持っている：4）" numFmtId="0">
      <sharedItems containsSemiMixedTypes="0" containsString="0" containsNumber="1" containsInteger="1" minValue="1" maxValue="4"/>
    </cacheField>
    <cacheField name="⑧  今回の研修で学んだことを、今後の業務で実践する機会はありそうですか？" numFmtId="0">
      <sharedItems/>
    </cacheField>
    <cacheField name="⑨ 研修に対する感想や要望などあれば、自由にご記入下さい。" numFmtId="0">
      <sharedItems containsBlank="1"/>
    </cacheField>
    <cacheField name="➉ 講師に対する感想や要望などあれば、自由にご記入下さい。" numFmtId="0">
      <sharedItems containsBlank="1"/>
    </cacheField>
    <cacheField name="受講時期" numFmtId="0">
      <sharedItems containsBlank="1" count="3">
        <s v="第1期"/>
        <s v="第2期"/>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d v="2025-08-06T17:46:37"/>
    <n v="586"/>
    <s v="鈴木 健斗"/>
    <x v="0"/>
    <s v="永谷 裕子 (プロジェクトマネージャー実践研修担当)"/>
    <n v="4"/>
    <x v="0"/>
    <n v="4"/>
    <n v="4"/>
    <n v="4"/>
    <n v="4"/>
    <n v="4"/>
    <s v="ある"/>
    <m/>
    <m/>
    <x v="0"/>
  </r>
  <r>
    <d v="2025-08-06T17:47:09"/>
    <n v="1295"/>
    <s v="望月洋平"/>
    <x v="0"/>
    <s v="永谷 裕子 (プロジェクトマネージャー実践研修担当)"/>
    <n v="4"/>
    <x v="0"/>
    <n v="4"/>
    <n v="3"/>
    <n v="3"/>
    <n v="3"/>
    <n v="4"/>
    <s v="ある"/>
    <s v="座学より演習時間を増やしてほしい"/>
    <m/>
    <x v="0"/>
  </r>
  <r>
    <d v="2025-08-06T17:47:55"/>
    <n v="1117"/>
    <s v="廣田慎太郎"/>
    <x v="0"/>
    <s v="永谷 裕子 (プロジェクトマネージャー実践研修担当)"/>
    <n v="4"/>
    <x v="0"/>
    <n v="4"/>
    <n v="4"/>
    <n v="4"/>
    <n v="4"/>
    <n v="4"/>
    <s v="ある"/>
    <s v="PCを利用しない形式なので良かった。→PC利用するとどうしても仕事をしてしまう場面があるため。_x000a_ワークの題材について、引越じゃなく、具体的なIT関連PJにしても良かったと思う(参加者が全員IT経験者のため)_x000a_"/>
    <s v="所々で体験談を挟んでいただいた点が良かったです。ありがとうごさいました。"/>
    <x v="0"/>
  </r>
  <r>
    <d v="2025-08-06T17:48:09"/>
    <n v="604"/>
    <s v="田中弘紀"/>
    <x v="0"/>
    <s v="永谷 裕子 (プロジェクトマネージャー実践研修担当)"/>
    <n v="3"/>
    <x v="0"/>
    <n v="4"/>
    <n v="4"/>
    <n v="3"/>
    <n v="3"/>
    <n v="4"/>
    <s v="ある"/>
    <s v="模造紙に手書きでは無く、スプレッドシートやスライドなどで実習に取り組めたら_x000a_やりやすいと感じました。"/>
    <m/>
    <x v="0"/>
  </r>
  <r>
    <d v="2025-08-06T17:48:39"/>
    <n v="1350"/>
    <s v="齋藤ダイキ"/>
    <x v="0"/>
    <s v="永谷 裕子 (プロジェクトマネージャー実践研修担当)"/>
    <n v="4"/>
    <x v="1"/>
    <n v="4"/>
    <n v="4"/>
    <n v="4"/>
    <n v="4"/>
    <n v="4"/>
    <s v="ある"/>
    <s v="PMでは無いので、PMがどのようなことを考えて業務を行なっているか学びながら体験できてとても良かった"/>
    <s v="実務を行なっていた講師なので、踏み込んだ話を聞けたし、いろいろ話ししてくれて楽しい研修だなと感じた"/>
    <x v="0"/>
  </r>
  <r>
    <d v="2025-08-06T17:49:03"/>
    <n v="1140"/>
    <s v="長谷川　裕昭"/>
    <x v="0"/>
    <s v="永谷 裕子 (プロジェクトマネージャー実践研修担当)"/>
    <n v="4"/>
    <x v="0"/>
    <n v="3"/>
    <n v="4"/>
    <n v="4"/>
    <n v="3"/>
    <n v="4"/>
    <s v="ある"/>
    <s v="PMとしてどうするべきか、何をするべきか、何を考えるべきかなど、学び考えることができ非常にいい経験になりました。"/>
    <m/>
    <x v="0"/>
  </r>
  <r>
    <d v="2025-08-06T17:49:06"/>
    <n v="367"/>
    <s v="小谷大基"/>
    <x v="0"/>
    <s v="永谷 裕子 (プロジェクトマネージャー実践研修担当)"/>
    <n v="4"/>
    <x v="0"/>
    <n v="4"/>
    <n v="4"/>
    <n v="4"/>
    <n v="4"/>
    <n v="4"/>
    <s v="ある"/>
    <s v="PM目指すかどうか関係無くプロジェクト進行についての大事な知識が詰まっているのでうちのエンジニアが全員受けるべきだと思いました。"/>
    <s v="永谷先生の説明は非常に分かりやすく、自己学習でわからなかった点がクリアになってよかったです。"/>
    <x v="0"/>
  </r>
  <r>
    <d v="2025-08-06T17:50:15"/>
    <n v="1315"/>
    <s v="小畑アリス"/>
    <x v="0"/>
    <s v="永谷 裕子 (プロジェクトマネージャー実践研修担当)"/>
    <n v="4"/>
    <x v="0"/>
    <n v="4"/>
    <n v="4"/>
    <n v="4"/>
    <n v="4"/>
    <n v="4"/>
    <s v="ある"/>
    <s v="ワークがたくさんあり楽しかったです。実際に現在担当しているプロジェクトで不安に思ってることや解決策とかを学べました。仕事から離れて対面でやる勉強会はオンラインよりたくさん吸収できたように思います。ありがとうございました。"/>
    <s v="２日間ありがとうございました。いつもワークの発表をした際に、みんなの意見に対して、いいね！と褒めてくださったのがすごく印象的でしたし、日々のMTGで私も真似しようと思いました。pmbokは、本が分厚くて勉強する気にならなかったので、対面でワークたくさんで勉強できたのはすごくありがたかったです。ありがとうございました。これから、PM頑張ります。"/>
    <x v="0"/>
  </r>
  <r>
    <d v="2025-08-06T17:50:20"/>
    <n v="494"/>
    <s v="阿部幸司"/>
    <x v="0"/>
    <s v="永谷 裕子 (プロジェクトマネージャー実践研修担当)"/>
    <n v="4"/>
    <x v="0"/>
    <n v="4"/>
    <n v="3"/>
    <n v="4"/>
    <n v="4"/>
    <n v="4"/>
    <s v="ある"/>
    <s v="漠然と知っていたことを体系として知れてよかったです。短い時間の中で要点を押さえての研修だったと思うのでまだまだ奥深いと思っているので復習と自己学習、アウトプットをして忘れないようにしていきたいとおもいます。"/>
    <s v="実際の経験からのお話があってより現場を感じられてよかったです。"/>
    <x v="0"/>
  </r>
  <r>
    <d v="2025-08-06T17:50:45"/>
    <n v="1332"/>
    <s v="江端隼樹"/>
    <x v="0"/>
    <s v="永谷 裕子 (プロジェクトマネージャー実践研修担当)"/>
    <n v="4"/>
    <x v="0"/>
    <n v="4"/>
    <n v="4"/>
    <n v="4"/>
    <n v="4"/>
    <n v="4"/>
    <s v="ある"/>
    <s v="今まではっきりとPMという形で参画したプロジェクトはなかったが、WBSの作成やガントチャートは自分なりに作っていた。_x000a_ハードスキルは知っていることもあったが、ソフトスキルは知らないことも多かったので、これから身につけたい"/>
    <s v="永谷さんの経験もたくさん話してくださり、参考になりました"/>
    <x v="0"/>
  </r>
  <r>
    <d v="2025-08-06T17:50:48"/>
    <n v="345"/>
    <s v="謝花　彰一"/>
    <x v="0"/>
    <s v="永谷 裕子 (プロジェクトマネージャー実践研修担当)"/>
    <n v="4"/>
    <x v="1"/>
    <n v="4"/>
    <n v="3"/>
    <n v="2"/>
    <n v="4"/>
    <n v="4"/>
    <s v="ある"/>
    <s v="実践パートがもう少し多ければいいかなと思いました。"/>
    <s v="色々な自身の経験談があり楽しく進められた、マネジメントに対する知識も凄いなと思いました。"/>
    <x v="0"/>
  </r>
  <r>
    <d v="2025-08-06T17:52:15"/>
    <n v="1152"/>
    <s v="片山健太郎"/>
    <x v="0"/>
    <s v="永谷 裕子 (プロジェクトマネージャー実践研修担当)"/>
    <n v="4"/>
    <x v="1"/>
    <n v="4"/>
    <n v="4"/>
    <n v="3"/>
    <n v="4"/>
    <n v="4"/>
    <s v="ある"/>
    <m/>
    <m/>
    <x v="0"/>
  </r>
  <r>
    <d v="2025-08-06T17:54:07"/>
    <n v="1438"/>
    <s v="中村円香"/>
    <x v="0"/>
    <s v="永谷 裕子 (プロジェクトマネージャー実践研修担当)"/>
    <n v="4"/>
    <x v="0"/>
    <n v="4"/>
    <n v="3"/>
    <n v="4"/>
    <n v="4"/>
    <n v="4"/>
    <s v="ある"/>
    <s v="実践形式のテーマがわかりやすく、PMの経験がなくてもわかりやすかったです。"/>
    <s v="話題が豊富で何に対しても回答していただけたので、話しやすかったです。"/>
    <x v="0"/>
  </r>
  <r>
    <d v="2025-08-26T18:10:36"/>
    <n v="1120"/>
    <s v="辻隆範"/>
    <x v="1"/>
    <s v="日暮 香美 (フロントエンドエンジニア実践研修(React) 初級編、中級編担当)"/>
    <n v="3"/>
    <x v="1"/>
    <n v="3"/>
    <n v="3"/>
    <n v="2"/>
    <n v="3"/>
    <n v="3"/>
    <s v="分からない"/>
    <s v="資料がどこまで含まれているのかわかりずらく、どこから自分である程度調べるべきなのか、これで進め方はあっているのかという不安があった"/>
    <s v="丁寧にご対応いただきありがたかったです。"/>
    <x v="0"/>
  </r>
  <r>
    <d v="2025-08-26T19:07:30"/>
    <n v="1180"/>
    <s v="内藤宏治"/>
    <x v="1"/>
    <s v="日暮 香美 (フロントエンドエンジニア実践研修(React) 初級編、中級編担当)"/>
    <n v="2"/>
    <x v="1"/>
    <n v="3"/>
    <n v="2"/>
    <n v="1"/>
    <n v="3"/>
    <n v="3"/>
    <s v="ある"/>
    <m/>
    <m/>
    <x v="0"/>
  </r>
  <r>
    <d v="2025-08-29T13:34:16"/>
    <n v="1343"/>
    <s v="雪吉礼名"/>
    <x v="2"/>
    <s v="柴﨑 良平 (フロントエンドエンジニア実践研修(React) 中級編担当)"/>
    <n v="4"/>
    <x v="1"/>
    <n v="4"/>
    <n v="3"/>
    <n v="3"/>
    <n v="4"/>
    <n v="4"/>
    <s v="ある"/>
    <s v="ReduxやSliceをほとんど知らなかったのでつまづくこともありましたが、調べながら進めることができました。_x000a__x000a_案件が落ち着いている時期だったので、今回は早めに提出ができました。_x000a_繁忙期と重なっていたら、課題をこなすのが難しかったかなと感じました。"/>
    <s v="細かい点まで確認していただきありがとうございました。"/>
    <x v="0"/>
  </r>
  <r>
    <d v="2025-09-02T17:53:21"/>
    <n v="983"/>
    <s v="田中辰弥"/>
    <x v="1"/>
    <s v="伊藤 健一 (フロントエンドエンジニア実践研修(React) 初級編担当)"/>
    <n v="2"/>
    <x v="1"/>
    <n v="3"/>
    <n v="3"/>
    <n v="2"/>
    <n v="2"/>
    <n v="2"/>
    <s v="分からない"/>
    <s v="研修課題が誤記がわりとあったり、問題の内容がわかりづらいところがあったので、もう少し問題内容を正確に作成して頂きたいと思いました。"/>
    <m/>
    <x v="0"/>
  </r>
  <r>
    <d v="2025-09-04T11:04:49"/>
    <s v="001475"/>
    <s v="Joao Henrique Hideki Shirata"/>
    <x v="3"/>
    <s v="天野 盛介 (クラウドインフラエンジニア実践研修(AWS) 初級編、中級編担当)"/>
    <n v="4"/>
    <x v="0"/>
    <n v="4"/>
    <n v="4"/>
    <n v="4"/>
    <n v="4"/>
    <n v="4"/>
    <s v="ある"/>
    <m/>
    <m/>
    <x v="0"/>
  </r>
  <r>
    <d v="2025-09-04T11:16:23"/>
    <n v="1430"/>
    <s v="佐々木淳"/>
    <x v="3"/>
    <s v="天野 盛介 (クラウドインフラエンジニア実践研修(AWS) 初級編、中級編担当)"/>
    <n v="3"/>
    <x v="1"/>
    <n v="3"/>
    <n v="3"/>
    <n v="2"/>
    <n v="3"/>
    <n v="3"/>
    <s v="ある"/>
    <s v="学びがあり、受講して良かったです。なお、研修テキスト（手順書）についての意見が2点あります。1点目として、品質についてです。手順書の記載誤りにより、手順どおりにいかないところが複数あり、想定以上に時間がかかりました。配布前の確認が不足していると思われます。2点目は、記載内容として、要件と手順以外の記載が少ないため、理解度向上につながるようなTipsを増やすと尚良いと思いました。Tipsの例として、サービスのユースケース、方法が複数あるケースでそれぞれのメリット・デメリット、などです。"/>
    <s v="丁寧にご対応をいただき、ありがとうございました。"/>
    <x v="0"/>
  </r>
  <r>
    <d v="2025-09-04T18:55:53"/>
    <n v="909"/>
    <s v="緒方遼太郎"/>
    <x v="4"/>
    <s v="大矢 和輝 (システムエンジニア実践研修担当)"/>
    <n v="4"/>
    <x v="1"/>
    <n v="4"/>
    <n v="4"/>
    <n v="4"/>
    <n v="4"/>
    <n v="4"/>
    <s v="分からない"/>
    <m/>
    <s v="資料を読み込む時間が多くあった、印象なので、別日で事前に読み込める機会があればいいなと思いました。"/>
    <x v="0"/>
  </r>
  <r>
    <d v="2025-09-04T18:56:03"/>
    <n v="1296"/>
    <s v="南川颯"/>
    <x v="4"/>
    <s v="大矢 和輝 (システムエンジニア実践研修担当)"/>
    <n v="2"/>
    <x v="2"/>
    <n v="3"/>
    <n v="3"/>
    <n v="2"/>
    <n v="3"/>
    <n v="3"/>
    <s v="ある"/>
    <m/>
    <m/>
    <x v="0"/>
  </r>
  <r>
    <d v="2025-09-04T18:57:27"/>
    <n v="1372"/>
    <s v="本田詞音"/>
    <x v="4"/>
    <s v="大矢 和輝 (システムエンジニア実践研修担当)"/>
    <n v="4"/>
    <x v="0"/>
    <n v="4"/>
    <n v="4"/>
    <n v="4"/>
    <n v="4"/>
    <n v="4"/>
    <s v="ある"/>
    <m/>
    <s v="資料も教え方も実践課題もすごく良く、ためになりました。"/>
    <x v="0"/>
  </r>
  <r>
    <d v="2025-09-04T18:57:34"/>
    <n v="315"/>
    <s v="足立洋介"/>
    <x v="4"/>
    <s v="大矢 和輝 (システムエンジニア実践研修担当)"/>
    <n v="3"/>
    <x v="0"/>
    <n v="3"/>
    <n v="3"/>
    <n v="3"/>
    <n v="3"/>
    <n v="4"/>
    <s v="ある"/>
    <s v="DB定義や画面入力書などを業務上やっていた、見たことがあったため、新たな学びというより復習になる部分が多かった。ユーザー側の要件定義の部分は未知の部分のため経験からの話が大変ためになった。"/>
    <m/>
    <x v="0"/>
  </r>
  <r>
    <d v="2025-09-04T18:57:41"/>
    <n v="985"/>
    <s v="宇山卓見"/>
    <x v="4"/>
    <s v="大矢 和輝 (システムエンジニア実践研修担当)"/>
    <n v="1"/>
    <x v="0"/>
    <n v="2"/>
    <n v="2"/>
    <n v="2"/>
    <n v="3"/>
    <n v="4"/>
    <s v="ある"/>
    <s v="実業まで普段やっていることより難易度がかなり低く感じた（私にとっては当たり前のことがほとんどだった）。"/>
    <s v="話し方はすごく分かりやすかったので、今回の内容を難しくて感じた方にはいい研修なのかなと思いました。"/>
    <x v="0"/>
  </r>
  <r>
    <d v="2025-09-04T18:58:14"/>
    <n v="1027"/>
    <s v="畦﨑凜"/>
    <x v="4"/>
    <s v="大矢 和輝 (システムエンジニア実践研修担当)"/>
    <n v="3"/>
    <x v="1"/>
    <n v="4"/>
    <n v="3"/>
    <n v="3"/>
    <n v="3"/>
    <n v="3"/>
    <s v="ある"/>
    <m/>
    <m/>
    <x v="0"/>
  </r>
  <r>
    <d v="2025-09-04T18:58:33"/>
    <n v="1286"/>
    <s v="古賀巧"/>
    <x v="4"/>
    <s v="大矢 和輝 (システムエンジニア実践研修担当)"/>
    <n v="4"/>
    <x v="0"/>
    <n v="4"/>
    <n v="4"/>
    <n v="4"/>
    <n v="4"/>
    <n v="4"/>
    <s v="ある"/>
    <s v="リモートではなく、集まって参加する意味があった。早起き成功してよかった。_x000a_頂いた資料がとても参考になったので見返したい。"/>
    <s v="リモートではなく、集まって参加する意味があった。早起き成功してよかった。_x000a_頂いた資料がとても参考になったので見返したい。"/>
    <x v="0"/>
  </r>
  <r>
    <d v="2025-09-04T18:59:19"/>
    <s v="001195"/>
    <s v="木俣颯太"/>
    <x v="4"/>
    <s v="大矢 和輝 (システムエンジニア実践研修担当)"/>
    <n v="3"/>
    <x v="0"/>
    <n v="4"/>
    <n v="3"/>
    <n v="4"/>
    <n v="3"/>
    <n v="1"/>
    <s v="分からない"/>
    <s v="新しい知識の研修でとても勉強になりました。_x000a_普段の業務がインフラの運用が主なので今後アプリの設計書や用件定義書を読み込む際にどのような内容が記載あるのかが理解できました。"/>
    <m/>
    <x v="0"/>
  </r>
  <r>
    <d v="2025-09-04T19:00:10"/>
    <s v="001205"/>
    <s v="佐藤夏実"/>
    <x v="4"/>
    <s v="大矢 和輝 (システムエンジニア実践研修担当)"/>
    <n v="3"/>
    <x v="1"/>
    <n v="3"/>
    <n v="3"/>
    <n v="2"/>
    <n v="3"/>
    <n v="3"/>
    <s v="分からない"/>
    <s v="システムエンジニアの全体像がわかってよかった。あまり知識がなかったのでイーランニングもとてもためになった。イーランニング比べて目的がよくわからなかったらつまずきやすいところなどがまとめられたらよかったかと思った。後半は単純作業だと感じた。"/>
    <s v="本日はありがとうございました。今後システムエンジニアの一部の仕事に関わることもあると思うので今日の経験を活かしたいとおもいました。ありがとうございます。"/>
    <x v="0"/>
  </r>
  <r>
    <d v="2025-09-04T19:01:29"/>
    <s v="001270"/>
    <s v="山岸一範"/>
    <x v="4"/>
    <s v="大矢 和輝 (システムエンジニア実践研修担当)"/>
    <n v="3"/>
    <x v="0"/>
    <n v="2"/>
    <n v="2"/>
    <n v="3"/>
    <n v="3"/>
    <n v="3"/>
    <s v="ある"/>
    <s v="要件定義、基本設計、詳細設計で作成するドキュメントで曖昧なものがあるので、このケースではこのフェーズで作る必要があるとかも教えて欲しかった。_x000a__x000a_手で設計書は普段書かないのでPCで書かせて欲しかった。_x000a__x000a_オンライン開催でPCで課題を各自でやって、出来上がった課題の成果物を画面共有で見せる方が効率がいいと思った。"/>
    <s v="丁寧で質問に対しても詳しく答えてくださって、雰囲気はとてもよかった。"/>
    <x v="0"/>
  </r>
  <r>
    <d v="2025-09-04T19:04:13"/>
    <n v="1029"/>
    <s v="大橋絵実"/>
    <x v="4"/>
    <s v="大矢 和輝 (システムエンジニア実践研修担当)"/>
    <n v="2"/>
    <x v="0"/>
    <n v="2"/>
    <n v="2"/>
    <n v="1"/>
    <n v="2"/>
    <n v="4"/>
    <s v="ある"/>
    <s v="本日はありがとうございました。完全アナログだったため、より業務に近いように色んなツール等を用いながら学べるとより実践に活かせそうだなあと感じました。また、内容が広く浅くだったため、個人的にはDB設計や業務フローをより深く学びたかったです。"/>
    <m/>
    <x v="0"/>
  </r>
  <r>
    <d v="2025-09-04T19:21:46"/>
    <s v="001326"/>
    <s v="吉田 優太"/>
    <x v="4"/>
    <s v="大矢 和輝 (システムエンジニア実践研修担当)"/>
    <n v="4"/>
    <x v="1"/>
    <n v="4"/>
    <n v="4"/>
    <n v="4"/>
    <n v="3"/>
    <n v="4"/>
    <s v="ある"/>
    <s v="この度は研修の機会をいただきありがとうございました。_x000a_今まで要件定義と基本設計を体系的に教わる機会が無かったので、とても有意義でした。_x000a_研修内容も現役で上流工程を担当されている方だったので、実務に即した形で大変参考になりました。_x000a_一つ要望がありまして、ワーク実施する際の様式が手書きでやりにくさを感じました。_x000a_早さと共有しやすさを考慮してPCでやらせてもらえるともっと良かったかなと思いました。_x000a_(講師の方も若干やりにくそうでした。。。)_x000a_Google meetの画面共有を使えば個人単位での発表とかもやりやす"/>
    <s v="今回のような形式での講義は初めてと伺っていましたが、そこまで違和感は無かったです。_x000a_段取り周りで若干不慣れな印象を抱きましたが、研修の質や満足度を著しく下げるような物ではなかったです。_x000a_スライド資料も読みやすく感じました。_x000a__x000a_要望としてはせっかく現役で上流やられている方なので、実務であった事をコラム的にもっと聞きたかったかもしれません。"/>
    <x v="0"/>
  </r>
  <r>
    <d v="2025-09-08T08:56:42"/>
    <s v="023007"/>
    <s v="松永圭悟"/>
    <x v="2"/>
    <s v="松永 圭悟 (フロントエンドエンジニア実践研修(React) 初級編、中級編担当)"/>
    <n v="3"/>
    <x v="2"/>
    <n v="3"/>
    <n v="2"/>
    <n v="2"/>
    <n v="2"/>
    <n v="1"/>
    <s v="分からない"/>
    <s v="提出物の締め切りタイミングを、より早めになるようにして頂ければと思います。_x000a_理由として、2日前の提出で確認がだいぶぎりぎりであった為です。"/>
    <m/>
    <x v="0"/>
  </r>
  <r>
    <d v="2025-09-11T13:25:13"/>
    <n v="737"/>
    <s v="上地航平"/>
    <x v="5"/>
    <s v="天野 盛介 (クラウドインフラエンジニア実践研修(AWS) 初級編、中級編担当)"/>
    <n v="4"/>
    <x v="0"/>
    <n v="4"/>
    <n v="4"/>
    <n v="4"/>
    <n v="4"/>
    <n v="4"/>
    <s v="ある"/>
    <s v="普段の担当業務の中では、すでに構築されたECSアプリケーションの開発保守をしています。今回の研修を受講し進めていくなかで構成図ベースでしかECSを理解していませんでしたが、コンソールを触っていくなかで構成図のクラスタはここのコンソール画面とリンクしているといったイメージがついたので、今後の業務（トラシュー）に活用できると感じています。_x000a__x000a_あと手順書は詳細にかかれており、詰まるところも少なくクオリティは高かったなと思いました。_x000a_（一部上手くいかない箇所がありましたが、そのトラシュー含めて勉強になりました。）"/>
    <s v="成果物に対する適切なレビューと今後の改修に向けたヒアリングをして頂いたのが良かったです。今後上級コースの新規開設や既存の初級・中級の拡充にも期待しています。"/>
    <x v="0"/>
  </r>
  <r>
    <d v="2025-09-11T13:40:56"/>
    <n v="1433"/>
    <s v="黒岩勇哉"/>
    <x v="5"/>
    <s v="天野 盛介 (クラウドインフラエンジニア実践研修(AWS) 初級編、中級編担当)"/>
    <n v="3"/>
    <x v="0"/>
    <n v="4"/>
    <n v="4"/>
    <n v="3"/>
    <n v="3"/>
    <n v="4"/>
    <s v="ある"/>
    <m/>
    <m/>
    <x v="0"/>
  </r>
  <r>
    <d v="2025-09-11T17:15:56"/>
    <n v="1172"/>
    <s v="秋山悠"/>
    <x v="3"/>
    <s v="天野 盛介 (クラウドインフラエンジニア実践研修(AWS) 初級編、中級編担当)"/>
    <n v="3"/>
    <x v="0"/>
    <n v="4"/>
    <n v="3"/>
    <n v="3"/>
    <n v="4"/>
    <n v="4"/>
    <s v="ある"/>
    <m/>
    <m/>
    <x v="0"/>
  </r>
  <r>
    <d v="2025-09-12T15:19:11"/>
    <n v="1307"/>
    <s v="中澤勇志"/>
    <x v="6"/>
    <s v="野川 錦策 (クラウドインフラエンジニア実践研修(GC) 初級編、中級編担当)"/>
    <n v="4"/>
    <x v="0"/>
    <n v="3"/>
    <n v="3"/>
    <n v="3"/>
    <n v="3"/>
    <n v="3"/>
    <s v="ある"/>
    <m/>
    <m/>
    <x v="0"/>
  </r>
  <r>
    <d v="2025-09-12T15:50:18"/>
    <s v="01124"/>
    <s v="寺田 侃生"/>
    <x v="6"/>
    <s v="野川 錦策 (クラウドインフラエンジニア実践研修(GC) 初級編、中級編担当)"/>
    <n v="4"/>
    <x v="0"/>
    <n v="4"/>
    <n v="3"/>
    <n v="4"/>
    <n v="4"/>
    <n v="4"/>
    <s v="ある"/>
    <s v="難易度は高いと感じたが達成感を得られてよかった"/>
    <s v="特にありません"/>
    <x v="0"/>
  </r>
  <r>
    <d v="2025-09-12T17:44:02"/>
    <n v="150"/>
    <s v="上地佑弥"/>
    <x v="0"/>
    <s v="永谷 裕子 (プロジェクトマネージャー実践研修担当)"/>
    <n v="4"/>
    <x v="0"/>
    <n v="4"/>
    <n v="4"/>
    <n v="4"/>
    <n v="4"/>
    <n v="4"/>
    <s v="ある"/>
    <m/>
    <m/>
    <x v="0"/>
  </r>
  <r>
    <d v="2025-09-12T17:44:05"/>
    <n v="742"/>
    <s v="櫻田博之"/>
    <x v="0"/>
    <s v="永谷 裕子 (プロジェクトマネージャー実践研修担当)"/>
    <n v="4"/>
    <x v="0"/>
    <n v="4"/>
    <n v="4"/>
    <n v="4"/>
    <n v="4"/>
    <n v="4"/>
    <s v="ある"/>
    <m/>
    <m/>
    <x v="0"/>
  </r>
  <r>
    <d v="2025-09-12T17:44:19"/>
    <n v="790"/>
    <s v="濱村綾"/>
    <x v="0"/>
    <s v="永谷 裕子 (プロジェクトマネージャー実践研修担当)"/>
    <n v="4"/>
    <x v="0"/>
    <n v="4"/>
    <n v="4"/>
    <n v="4"/>
    <n v="4"/>
    <n v="4"/>
    <s v="ある"/>
    <m/>
    <m/>
    <x v="0"/>
  </r>
  <r>
    <d v="2025-09-12T17:44:25"/>
    <n v="1364"/>
    <s v="仲地　大樹"/>
    <x v="0"/>
    <s v="永谷 裕子 (プロジェクトマネージャー実践研修担当)"/>
    <n v="4"/>
    <x v="1"/>
    <n v="4"/>
    <n v="4"/>
    <n v="3"/>
    <n v="4"/>
    <n v="4"/>
    <s v="ある"/>
    <m/>
    <m/>
    <x v="0"/>
  </r>
  <r>
    <d v="2025-09-12T17:44:34"/>
    <n v="1306"/>
    <s v="鹿嶋未郷"/>
    <x v="0"/>
    <s v="永谷 裕子 (プロジェクトマネージャー実践研修担当)"/>
    <n v="4"/>
    <x v="0"/>
    <n v="4"/>
    <n v="2"/>
    <n v="3"/>
    <n v="4"/>
    <n v="4"/>
    <s v="ある"/>
    <s v="もう少し長めに時間とっていただければ満足です"/>
    <m/>
    <x v="0"/>
  </r>
  <r>
    <d v="2025-09-12T17:44:45"/>
    <n v="952"/>
    <s v="満村雄二"/>
    <x v="0"/>
    <s v="永谷 裕子 (プロジェクトマネージャー実践研修担当)"/>
    <n v="4"/>
    <x v="1"/>
    <n v="4"/>
    <n v="4"/>
    <n v="4"/>
    <n v="4"/>
    <n v="4"/>
    <s v="ある"/>
    <s v="実戦形式も多く楽しむ事ができました。_x000a_ありがとうございました。"/>
    <s v="外資経験のあるような方でとてもユニークな方でした"/>
    <x v="0"/>
  </r>
  <r>
    <d v="2025-09-12T17:44:48"/>
    <n v="1328"/>
    <s v="山本豪"/>
    <x v="0"/>
    <s v="永谷 裕子 (プロジェクトマネージャー実践研修担当)"/>
    <n v="4"/>
    <x v="0"/>
    <n v="4"/>
    <n v="3"/>
    <n v="3"/>
    <n v="4"/>
    <n v="4"/>
    <s v="ある"/>
    <m/>
    <m/>
    <x v="0"/>
  </r>
  <r>
    <d v="2025-09-12T17:44:56"/>
    <n v="864"/>
    <s v="中地 悠斗"/>
    <x v="0"/>
    <s v="永谷 裕子 (プロジェクトマネージャー実践研修担当)"/>
    <n v="3"/>
    <x v="0"/>
    <n v="4"/>
    <n v="4"/>
    <n v="3"/>
    <n v="3"/>
    <n v="4"/>
    <s v="ある"/>
    <s v="やはりPCが使えないのが厳しかった。"/>
    <m/>
    <x v="0"/>
  </r>
  <r>
    <d v="2025-09-12T17:44:56"/>
    <n v="1178"/>
    <s v="青木勝則"/>
    <x v="0"/>
    <s v="永谷 裕子 (プロジェクトマネージャー実践研修担当)"/>
    <n v="4"/>
    <x v="0"/>
    <n v="4"/>
    <n v="4"/>
    <n v="4"/>
    <n v="4"/>
    <n v="4"/>
    <s v="ある"/>
    <s v="少し端折ったところもあったので3日ぐらいあるとなお良いかかともいました"/>
    <s v="勉強になりました！"/>
    <x v="0"/>
  </r>
  <r>
    <d v="2025-09-12T17:45:11"/>
    <s v="001279"/>
    <s v="秋野光史"/>
    <x v="0"/>
    <s v="永谷 裕子 (プロジェクトマネージャー実践研修担当)"/>
    <n v="4"/>
    <x v="0"/>
    <n v="4"/>
    <n v="4"/>
    <n v="4"/>
    <n v="4"/>
    <n v="4"/>
    <s v="ある"/>
    <m/>
    <m/>
    <x v="0"/>
  </r>
  <r>
    <d v="2025-09-12T17:45:15"/>
    <n v="700793"/>
    <s v="畠山大治"/>
    <x v="0"/>
    <s v="永谷 裕子 (プロジェクトマネージャー実践研修担当)"/>
    <n v="4"/>
    <x v="0"/>
    <n v="4"/>
    <n v="4"/>
    <n v="4"/>
    <n v="4"/>
    <n v="4"/>
    <s v="ある"/>
    <m/>
    <m/>
    <x v="0"/>
  </r>
  <r>
    <d v="2025-09-12T17:45:29"/>
    <n v="935"/>
    <s v="吉田優作"/>
    <x v="0"/>
    <s v="永谷 裕子 (プロジェクトマネージャー実践研修担当)"/>
    <n v="4"/>
    <x v="0"/>
    <n v="4"/>
    <n v="4"/>
    <n v="4"/>
    <n v="4"/>
    <n v="4"/>
    <s v="ある"/>
    <s v="業務につなげれる内容が多く非常に参考になりました"/>
    <m/>
    <x v="0"/>
  </r>
  <r>
    <d v="2025-09-12T17:47:50"/>
    <n v="535"/>
    <s v="田原慶"/>
    <x v="0"/>
    <s v="永谷 裕子 (プロジェクトマネージャー実践研修担当)"/>
    <n v="4"/>
    <x v="1"/>
    <n v="3"/>
    <n v="3"/>
    <n v="3"/>
    <n v="3"/>
    <n v="4"/>
    <s v="ある"/>
    <s v="現代のプロジェクトに活かせるのか？が課題かと思いました。"/>
    <s v="アメリカと日本を比較した話がとても良かったです。"/>
    <x v="0"/>
  </r>
  <r>
    <d v="2025-09-12T18:16:23"/>
    <s v="001258"/>
    <s v="篠藤　誉之"/>
    <x v="7"/>
    <s v="野川 錦策 (クラウドインフラエンジニア実践研修(GC) 初級編、中級編担当)"/>
    <n v="3"/>
    <x v="1"/>
    <n v="3"/>
    <n v="2"/>
    <n v="2"/>
    <n v="3"/>
    <n v="4"/>
    <s v="分からない"/>
    <s v="課題の量や学習に費やす時間が多く必要なため、スキルアップ研修を複数こなしていくのは難しいかと思いました。難易度は問題ありませんでした。とても為になりました"/>
    <m/>
    <x v="0"/>
  </r>
  <r>
    <d v="2025-09-12T18:36:01"/>
    <s v="001326"/>
    <s v="吉田 優太"/>
    <x v="0"/>
    <s v="永谷 裕子 (プロジェクトマネージャー実践研修担当)"/>
    <n v="4"/>
    <x v="0"/>
    <n v="4"/>
    <n v="4"/>
    <n v="4"/>
    <n v="4"/>
    <n v="4"/>
    <s v="ある"/>
    <s v="とても有意義な研修だったと思います。_x000a_最後に他の方も仰っていましたがプロジェクトマネジメントを体系的に学ぶ機会は中々ないので、貴重な機会でした。_x000a_特に「プロジェクトマネジメントの『マネジメント』とは『ただ管理する』という意味でなく『(困難な状況で)なんとか対処する』という意味である」という言葉は目から鱗でした。_x000a_内容についてもAIの登場を鑑みたPMが果たすべき役割の変化など、昨今の情勢を考慮した内容となっており、大変参考になるものでした。_x000a_ワークについてもこちらは手書きでも無理のない内容になっていて、より"/>
    <s v="豊富な経験とご実力を伺わせる手腕が研修の内容や進行のやり方に現れていたと思います。_x000a_永谷先生によれば本来四日間の研修を圧縮した内容になっているとの事でしたが、内容の選定がプロジェクトを失敗させる大きな要因(計画•コミュニケーション)にフォーカスしており、初学者レベルの私からしても納得かつ満足できる研修内容となっていました。_x000a_現役は退かれている？ようでしたが、AIがプロジェクトマネジメントの現場に及ぼす影響などの考察も話されており、知識を更新し続けている姿勢など研修の内容以外でも見習うべきと感じた点が多々あ"/>
    <x v="0"/>
  </r>
  <r>
    <d v="2025-09-12T19:30:55"/>
    <n v="804"/>
    <s v="日下 憧"/>
    <x v="7"/>
    <s v="野川 錦策 (クラウドインフラエンジニア実践研修(GC) 初級編、中級編担当)"/>
    <n v="3"/>
    <x v="2"/>
    <n v="3"/>
    <n v="2"/>
    <n v="2"/>
    <n v="4"/>
    <n v="4"/>
    <s v="分からない"/>
    <s v="研修内容については難易度の高い部分もありましたが、その分非常に学びが多く、自身の知識や理解を深める大変良い機会となりました。  "/>
    <s v="講師の方には、フィードバックや質問に対して常に丁寧かつ分かりやすくご対応いただき、大変感謝しております。  _x000a_受講者の理解度に合わせて詳しく説明してくださったおかげで、内容をより深く理解することができました。  _x000a_"/>
    <x v="0"/>
  </r>
  <r>
    <d v="2025-09-17T09:54:09"/>
    <n v="974"/>
    <s v="久志野裕矢"/>
    <x v="7"/>
    <s v="野川 錦策 (クラウドインフラエンジニア実践研修(GC) 初級編、中級編担当)"/>
    <n v="3"/>
    <x v="2"/>
    <n v="2"/>
    <n v="1"/>
    <n v="1"/>
    <n v="2"/>
    <n v="3"/>
    <s v="分からない"/>
    <s v="初級編の内容はNWとPSCをメインで課題を作成されていると伺いました。_x000a_そのため、現時点での業務で初級編のユースケースはないと考えております。_x000a_LBやPSCの理解深めるためであれば、もう少し簡素な構成でも良いかと思いました。"/>
    <s v="特になし"/>
    <x v="0"/>
  </r>
  <r>
    <d v="2025-09-19T09:59:40"/>
    <s v="001270"/>
    <s v="山岸 一範"/>
    <x v="8"/>
    <s v="日野 龍樹 (フロントエンドエンジニア実践研修(Vue.js) 初級編、中級編担当)"/>
    <n v="2"/>
    <x v="0"/>
    <n v="1"/>
    <n v="3"/>
    <n v="3"/>
    <n v="1"/>
    <n v="2"/>
    <s v="ある"/>
    <s v="実践研修中級編ということでしたが、内容的には初級後編レベルな印象です。_x000a_個人的にはもう少し難易度の高い実践研修を求めていました。_x000a_backendはjsonファイルの読み書きで行うという指定でしたが、DB立てた方が実務に活かせると思います。_x000a_ただ、クイズのjsonの形式をアプリにとって最適にするにはどうしたらいいか試行錯誤する時間はとても楽しかったです。"/>
    <s v="中級編のレビューをするにはレベルが足りないのではないかと思います。_x000a_Nuxtを使った実務経験はないとおっしゃっていたので、実務経験のある講師とディレクトリ構成のベストプラクティスや実装時の勘所についてもっと議論したかったです。"/>
    <x v="0"/>
  </r>
  <r>
    <d v="2025-09-19T10:19:04"/>
    <n v="1328"/>
    <s v="山本 豪"/>
    <x v="9"/>
    <s v="日野 龍樹 (フロントエンドエンジニア実践研修(Vue.js) 初級編、中級編担当)"/>
    <n v="3"/>
    <x v="1"/>
    <n v="4"/>
    <n v="4"/>
    <n v="4"/>
    <n v="4"/>
    <n v="4"/>
    <s v="ある"/>
    <s v="フロントエンジニアの学習領域はかなり広いと感じました。_x000a_学習時間がどうしても不足しがちでしたので学習期間を長く取るか、集中的に長時間学習できるように時間の確保が大事だと思いました。"/>
    <s v="あたりの柔らかい話しやすい印象で会話がし易かったです。_x000a_また、実務の内容についてもソースを丁寧に読んでいただき、適切なフィードバックをいただけたため、今後のスキルアップに繋げられると思いました。"/>
    <x v="0"/>
  </r>
  <r>
    <d v="2025-09-22T11:48:53"/>
    <n v="724"/>
    <s v="福富道德"/>
    <x v="10"/>
    <s v="清水 裕太 (スマホアプリエンジニア実践研修 初級編、中級編担当)"/>
    <n v="4"/>
    <x v="0"/>
    <n v="4"/>
    <n v="4"/>
    <n v="4"/>
    <n v="4"/>
    <n v="4"/>
    <s v="ある"/>
    <s v="特にありません。"/>
    <s v="業務でも活用できそうなところを細かく指摘して頂き助かりました。"/>
    <x v="0"/>
  </r>
  <r>
    <d v="2025-09-22T15:15:12"/>
    <n v="1350"/>
    <s v="齋藤大樹"/>
    <x v="11"/>
    <s v="清水 裕太 (スマホアプリエンジニア実践研修 初級編、中級編担当)"/>
    <n v="4"/>
    <x v="1"/>
    <n v="4"/>
    <n v="4"/>
    <n v="3"/>
    <n v="4"/>
    <n v="4"/>
    <s v="ある"/>
    <s v="初心者には難易度が高く感じたが、提出物が提出できる頃には実務(flutterのアプリ開発をしているチーム）のコードがそれなりに読めるようになったと感じるので、とても良かったです"/>
    <s v="端的にわかりやすくFBしてもらえたので良かったです"/>
    <x v="0"/>
  </r>
  <r>
    <d v="2025-09-24T11:47:34"/>
    <s v="001268"/>
    <s v="木村 兼人"/>
    <x v="2"/>
    <s v="松永 圭悟 (フロントエンドエンジニア実践研修(React) 初級編、中級編担当)"/>
    <n v="4"/>
    <x v="0"/>
    <n v="4"/>
    <n v="4"/>
    <n v="4"/>
    <n v="4"/>
    <n v="4"/>
    <s v="ある"/>
    <s v="NextJsの基礎を身につけることができました、業務に活かせればと思います。"/>
    <s v="ご対応ありがとうございました。"/>
    <x v="0"/>
  </r>
  <r>
    <d v="2025-09-24T17:05:55"/>
    <n v="561"/>
    <s v="齋藤和久"/>
    <x v="1"/>
    <s v="伊藤 健一 (フロントエンドエンジニア実践研修(React) 初級編担当)"/>
    <n v="3"/>
    <x v="1"/>
    <n v="3"/>
    <n v="3"/>
    <n v="3"/>
    <n v="3"/>
    <n v="3"/>
    <s v="ある"/>
    <s v="教材のPDFにおいて、一部作っているものと整合性がとれない部分や説明が足りない箇所があったため、エンジニア初心者では初級編でもつまるところが多々あるのではと感じました。"/>
    <s v="特にありません。"/>
    <x v="0"/>
  </r>
  <r>
    <d v="2025-09-24T18:09:34"/>
    <n v="1190"/>
    <s v="小野花菜"/>
    <x v="1"/>
    <s v="伊藤 健一 (フロントエンドエンジニア実践研修(React) 初級編担当)"/>
    <n v="4"/>
    <x v="0"/>
    <n v="4"/>
    <n v="4"/>
    <n v="3"/>
    <n v="4"/>
    <n v="4"/>
    <s v="ある"/>
    <s v="一度JSで作ってからreactを導入するという順序踏んで学ぶことができたので、学習がしやすかったです。"/>
    <s v="合否の結果や気になったことなど簡潔に伝えていただいたので、わかりやすかったです。"/>
    <x v="0"/>
  </r>
  <r>
    <d v="2025-09-25T15:45:21"/>
    <n v="1366"/>
    <s v="毛利 彩乃"/>
    <x v="5"/>
    <s v="天野 盛介 (クラウドインフラエンジニア実践研修(AWS) 初級編、中級編担当)"/>
    <n v="2"/>
    <x v="1"/>
    <n v="3"/>
    <n v="4"/>
    <n v="1"/>
    <n v="2"/>
    <n v="4"/>
    <s v="ある"/>
    <s v="【感想】_x000a_・触ったことのなかったリソースを構築することができてためになった_x000a_・「実践研修問題」のテキストが詳しかったため、「中級」と呼ぶにはテキストが易しかったように思います。_x000a_「要件が出ていて、それに対して設計・環境構築」を実施するような内容であると実務により生きる流れとなり、よりよいと感じた（ボリュームと難易度の兼ね合いは難しいので、現状が適切ということもあるのかもしれません……）_x000a__x000a_【要望】_x000a_・サブネット範囲の重複や手順書でのGitコマンドが不十分であった箇所など、一部不備が見受けられたため、問題・"/>
    <s v="私がフローを理解していなかったために面談では提出物のチェックシートが提出できておらず申し訳ございませんでした。_x000a_終始話しやすい雰囲気でわからなかった部分の質問などもさせていただきました。_x000a_お時間をいただきありがとうございました。_x000a__x000a_「事前準備」でcloudformationスタックからデプロイしたEC2を一度「停止」するとCFnからEC2へのアクセスが通らなくなり「504エラー」となってしまう件についてご質問させていただき、お持ち帰りいただくこととなりました。_x000a_貴社側でも事象が再現されるかどうか・再現され"/>
    <x v="0"/>
  </r>
  <r>
    <d v="2025-09-25T17:22:43"/>
    <n v="861"/>
    <s v="大木祐太"/>
    <x v="5"/>
    <s v="天野 盛介 (クラウドインフラエンジニア実践研修(AWS) 初級編、中級編担当)"/>
    <n v="4"/>
    <x v="0"/>
    <n v="4"/>
    <n v="4"/>
    <n v="3"/>
    <n v="4"/>
    <n v="4"/>
    <s v="ある"/>
    <s v="一部間違っているところがあったので、今後に向けてさらにブラッシュアップいただけると嬉しいです。"/>
    <s v="丁寧にご対応いただきありがとうございました。"/>
    <x v="0"/>
  </r>
  <r>
    <d v="2025-09-25T17:44:06"/>
    <n v="1056"/>
    <s v="山本修輔"/>
    <x v="5"/>
    <s v="天野 盛介 (クラウドインフラエンジニア実践研修(AWS) 初級編、中級編担当)"/>
    <n v="4"/>
    <x v="0"/>
    <n v="4"/>
    <n v="4"/>
    <n v="4"/>
    <n v="4"/>
    <n v="4"/>
    <s v="ある"/>
    <s v="上級者編とかあれば、研修を受けてみたいと思った。"/>
    <s v="特になし。"/>
    <x v="0"/>
  </r>
  <r>
    <d v="2025-09-25T18:08:07"/>
    <n v="1466"/>
    <s v="村上雄紀"/>
    <x v="5"/>
    <s v="天野 盛介 (クラウドインフラエンジニア実践研修(AWS) 初級編、中級編担当)"/>
    <n v="4"/>
    <x v="1"/>
    <n v="4"/>
    <n v="3"/>
    <n v="3"/>
    <n v="3"/>
    <n v="4"/>
    <s v="ある"/>
    <s v="触れた事のないサービスに触れる事ができ実際に手を動かすことで理解が深まりました。再度、Udemyでコンテナを学び直して研修を再実施することでより深く理解できる様に致します。"/>
    <s v="お忙しい中、貴重な時間を頂戴し誠にありがとうございました。_x000a_FBでお聞きしたCloudFrontのオリジンに対する内容に進捗ありましたらご教示いただけますと幸いです。_x000a_よろしくお願いいたします。"/>
    <x v="0"/>
  </r>
  <r>
    <d v="2025-09-25T18:24:44"/>
    <n v="1408"/>
    <s v="Neti Rohiniesh"/>
    <x v="3"/>
    <s v="天野 盛介 (クラウドインフラエンジニア実践研修(AWS) 初級編、中級編担当)"/>
    <n v="4"/>
    <x v="0"/>
    <n v="2"/>
    <n v="4"/>
    <n v="4"/>
    <n v="4"/>
    <n v="4"/>
    <s v="分からない"/>
    <s v="N/A"/>
    <s v="丁寧なフィードバックと助言、ありがとうございました。"/>
    <x v="0"/>
  </r>
  <r>
    <d v="2025-09-26T10:59:35"/>
    <n v="717"/>
    <s v="伊藤颯佑"/>
    <x v="5"/>
    <s v="天野 盛介 (クラウドインフラエンジニア実践研修(AWS) 初級編、中級編担当)"/>
    <n v="3"/>
    <x v="0"/>
    <n v="2"/>
    <n v="3"/>
    <n v="1"/>
    <n v="1"/>
    <n v="3"/>
    <s v="ある"/>
    <s v="・教材のテキストに不備や不親切だと感じる点がいくつかあった。_x000a_また、教材の配布の遅れや修正が多々あったが、完了期日は据え置きのままであったりした関係で研修に取り組む時間を確保するのが難しかった。_x000a_・実施するAWS環境すら決まっていない状態で研修が開始された。_x000a_受講することが決まった後に、自分のセクション環境にてリソース構築することが決定したため、リソース作成のコストの負担等はどう取り決められていたのか気になった。_x000a_・Slackの問い合わせフォームにて、主に研修の進め方に関する疑問点を解消できるのは良かった"/>
    <s v="_x000a_"/>
    <x v="0"/>
  </r>
  <r>
    <d v="2025-09-26T16:34:42"/>
    <n v="1270"/>
    <s v="山岸一範"/>
    <x v="2"/>
    <s v="柴﨑 良平 (フロントエンドエンジニア実践研修(React) 中級編担当)"/>
    <n v="3"/>
    <x v="0"/>
    <n v="3"/>
    <n v="2"/>
    <n v="3"/>
    <n v="2"/>
    <n v="3"/>
    <s v="ある"/>
    <s v="実務でReact / Next.js は使ったことがなかったので今回手を動かしてアプリを作ることができてよかった。_x000a_中級くらいならDBやOAuth使った認証も加えた課題にしてよかった気がします。"/>
    <s v="デザインに気になるところがあると否定から入るのでイライラした。_x000a_褒めてから指摘するなどした方がいい。"/>
    <x v="0"/>
  </r>
  <r>
    <d v="2025-09-29T12:36:27"/>
    <n v="1366"/>
    <s v="毛利 彩乃（要望を追記して再提出させていただきます）"/>
    <x v="5"/>
    <s v="天野 盛介 (クラウドインフラエンジニア実践研修(AWS) 初級編、中級編担当)"/>
    <n v="2"/>
    <x v="1"/>
    <n v="3"/>
    <n v="3"/>
    <n v="1"/>
    <n v="2"/>
    <n v="3"/>
    <s v="ある"/>
    <s v="〈研修内容への要望〉_x000a_前回の回答では、要望面含めてあまり具体的な記載をしていなかったと記憶しますため、_x000a_私が実施して気になった内容と要望を追加で記載させていただきます。_x000a__x000a_⚫︎検証用の環境を構築するためのCloudFormationのコードの改善_x000a_　- ElasticIPアドレスが振られていないため、再度起動した際にCFのオリジンとEC2のパブリックDNSが不一致となる_x000a_　- nginxの自動起動が設定されていない_x000a_→これにより、一度EC2を停止し、再度起動して研修を再開しようとした際にCF→EC2の接続"/>
    <s v="前回提出させていただいた通りです。ご対応ありがとうございます。"/>
    <x v="0"/>
  </r>
  <r>
    <d v="2025-09-29T18:31:53"/>
    <n v="1332"/>
    <s v="江端隼樹"/>
    <x v="1"/>
    <s v="日暮 香美 (フロントエンドエンジニア実践研修(React) 初級編、中級編担当)"/>
    <n v="3"/>
    <x v="1"/>
    <n v="4"/>
    <n v="4"/>
    <n v="2"/>
    <n v="3"/>
    <n v="4"/>
    <s v="ある"/>
    <s v="e-learningのボリュームが多かったので、既に習得ずみのものは跳ばして受講した"/>
    <s v="フィードバックで適切な指摘をいただいた"/>
    <x v="0"/>
  </r>
  <r>
    <d v="2025-09-30T18:28:37"/>
    <n v="983"/>
    <s v="田中辰弥"/>
    <x v="2"/>
    <s v="日暮 香美 (フロントエンドエンジニア実践研修(React) 初級編、中級編担当)"/>
    <n v="4"/>
    <x v="0"/>
    <n v="4"/>
    <n v="4"/>
    <n v="4"/>
    <n v="4"/>
    <n v="4"/>
    <s v="分からない"/>
    <s v="今回はNext.jsの内部に作ったAPIを使っていましたが、外部APIを使った問題もあるとなお良かったかなと思います。"/>
    <s v="丁寧にフィードバックして頂き、ありがとうございました！"/>
    <x v="0"/>
  </r>
  <r>
    <d v="2025-10-02T10:18:14"/>
    <n v="1079"/>
    <s v="坂　翔太"/>
    <x v="2"/>
    <s v="日暮 香美 (フロントエンドエンジニア実践研修(React) 初級編、中級編担当)"/>
    <n v="4"/>
    <x v="0"/>
    <n v="4"/>
    <n v="4"/>
    <n v="3"/>
    <n v="4"/>
    <n v="4"/>
    <s v="ある"/>
    <s v="eslintやprettierなども研修内容にあるとより実務レベルの経験を詰めると思いました。"/>
    <s v="質問に丁寧に回答していただき、ありがとうございました。"/>
    <x v="0"/>
  </r>
  <r>
    <d v="2025-10-09T16:19:37"/>
    <s v="001162"/>
    <s v="馬場拓也"/>
    <x v="9"/>
    <s v="小川 雅大 (フロントエンドエンジニア実践研修(Vue.js) 初級編、中級編担当)"/>
    <n v="4"/>
    <x v="0"/>
    <n v="4"/>
    <n v="4"/>
    <n v="4"/>
    <n v="4"/>
    <n v="4"/>
    <s v="ある"/>
    <s v="ワークフロー「成果物の提出」で1on1フィードバック予約日を入力しましたが、これについて特に音沙汰がなく、別途1on1予約しないといけないのがわかりづらかったです"/>
    <s v="要件と問題のPDFもわかりやすく記載されており、進めやすかったです"/>
    <x v="0"/>
  </r>
  <r>
    <d v="2025-10-09T16:27:23"/>
    <n v="1050"/>
    <s v="並木 柊斗"/>
    <x v="9"/>
    <s v="小川 雅大 (フロントエンドエンジニア実践研修(Vue.js) 初級編、中級編担当)"/>
    <n v="4"/>
    <x v="1"/>
    <n v="4"/>
    <n v="4"/>
    <n v="4"/>
    <n v="4"/>
    <n v="4"/>
    <s v="ある"/>
    <s v="特になし"/>
    <s v="特になし"/>
    <x v="0"/>
  </r>
  <r>
    <d v="2025-10-10T17:58:32"/>
    <n v="1258"/>
    <s v="篠藤　誉之"/>
    <x v="9"/>
    <s v="小川 雅大 (フロントエンドエンジニア実践研修(Vue.js) 初級編、中級編担当)"/>
    <n v="3"/>
    <x v="0"/>
    <n v="3"/>
    <n v="3"/>
    <n v="4"/>
    <n v="3"/>
    <n v="3"/>
    <s v="ある"/>
    <s v="研修問題が分かりやすく、やっていく中で自信がつきました。ありがとうございます"/>
    <s v="特にございません"/>
    <x v="0"/>
  </r>
  <r>
    <d v="2025-10-10T17:58:35"/>
    <n v="1435"/>
    <s v="島仲 立希"/>
    <x v="3"/>
    <s v="天野 盛介 (クラウドインフラエンジニア実践研修(AWS) 初級編、中級編担当)"/>
    <n v="3"/>
    <x v="1"/>
    <n v="4"/>
    <n v="3"/>
    <n v="3"/>
    <n v="3"/>
    <n v="3"/>
    <s v="ある"/>
    <s v="業務では設定することのない操作を実施できたので学びになった"/>
    <s v="親身に対応いただけた"/>
    <x v="0"/>
  </r>
  <r>
    <d v="2025-10-16T15:06:20"/>
    <s v="001162"/>
    <s v="馬場拓也"/>
    <x v="3"/>
    <s v="天野 盛介 (クラウドインフラエンジニア実践研修(AWS) 初級編、中級編担当)"/>
    <n v="4"/>
    <x v="1"/>
    <n v="3"/>
    <n v="4"/>
    <n v="3"/>
    <n v="3"/>
    <n v="4"/>
    <s v="ある"/>
    <s v="特にありません"/>
    <s v="最後に実施したヘルスステータスは問題なく「Healthy」となりました"/>
    <x v="0"/>
  </r>
  <r>
    <d v="2025-10-20T15:23:13"/>
    <n v="682"/>
    <s v="梶達也"/>
    <x v="11"/>
    <s v="清水 裕太 (スマホアプリエンジニア実践研修 初級編、中級編担当)"/>
    <n v="3"/>
    <x v="0"/>
    <n v="3"/>
    <n v="3"/>
    <n v="2"/>
    <n v="3"/>
    <n v="3"/>
    <s v="分からない"/>
    <s v="他の言語も学んでみたい"/>
    <s v="なし"/>
    <x v="0"/>
  </r>
  <r>
    <d v="2025-10-21T17:47:15"/>
    <n v="1033"/>
    <s v="鎌倉なつの"/>
    <x v="5"/>
    <s v="天野 盛介 (クラウドインフラエンジニア実践研修(AWS) 初級編、中級編担当)"/>
    <n v="3"/>
    <x v="0"/>
    <n v="4"/>
    <n v="3"/>
    <n v="2"/>
    <n v="4"/>
    <n v="3"/>
    <s v="ある"/>
    <s v="特になし"/>
    <s v="特になし"/>
    <x v="0"/>
  </r>
  <r>
    <d v="2025-10-22T15:46:33"/>
    <n v="619"/>
    <s v="石川 耕平"/>
    <x v="2"/>
    <s v="松永 圭悟 (フロントエンドエンジニア実践研修(React) 初級編、中級編担当)"/>
    <n v="4"/>
    <x v="0"/>
    <n v="4"/>
    <n v="4"/>
    <n v="4"/>
    <n v="3"/>
    <n v="4"/>
    <s v="ある"/>
    <s v="Vue.js は使ったことがありましたが、Reactは使ったことなかったので今回受講することにした。_x000a_システムシェアードさんの研修に興味があったので受講することにした。_x000a_TailWindCSSに慣れていなかったので、classの設定に苦労した。"/>
    <s v="特になし"/>
    <x v="0"/>
  </r>
  <r>
    <d v="2025-10-22T16:14:38"/>
    <s v="0977"/>
    <s v="田村直也"/>
    <x v="2"/>
    <s v="松永 圭悟 (フロントエンドエンジニア実践研修(React) 初級編、中級編担当)"/>
    <n v="3"/>
    <x v="0"/>
    <n v="3"/>
    <n v="4"/>
    <n v="3"/>
    <n v="1"/>
    <n v="1"/>
    <s v="ある"/>
    <s v="特になし"/>
    <s v="講師の方のフィードバックはあまり参考にならなかった。もう少しコードレベルでのフィードバックを頂けた方が参考になると思いました。"/>
    <x v="0"/>
  </r>
  <r>
    <d v="2025-10-22T17:56:56"/>
    <n v="1034"/>
    <s v="鴨志田公佑"/>
    <x v="2"/>
    <s v="松永 圭悟 (フロントエンドエンジニア実践研修(React) 初級編、中級編担当)"/>
    <n v="3"/>
    <x v="1"/>
    <n v="3"/>
    <n v="3"/>
    <n v="3"/>
    <n v="3"/>
    <n v="3"/>
    <s v="ある"/>
    <s v="こちら側では発生してないが、講師の方側でアプリ起動時にエラーが発生してしまったため、フィードバックは二回目の提出時に行うことになりました。"/>
    <s v="ありがとうございました。"/>
    <x v="0"/>
  </r>
  <r>
    <d v="2025-10-23T14:16:36"/>
    <n v="967"/>
    <s v="米田 和輝"/>
    <x v="6"/>
    <s v="野川 錦策 (クラウドインフラエンジニア実践研修(GC) 初級編、中級編担当)"/>
    <n v="4"/>
    <x v="0"/>
    <n v="4"/>
    <n v="4"/>
    <n v="3"/>
    <n v="3"/>
    <n v="4"/>
    <s v="ある"/>
    <s v="Google Cloud の主要サービスを Terraform のモジュール構成で設計・構築する流れを経験できたため、今後の案件にも活かすことができる汎用的なスキルを身につけることができたと思います。"/>
    <s v="提出した成果物に対して詳細にレビューいただき、疑問点の解消ができました。"/>
    <x v="0"/>
  </r>
  <r>
    <d v="2025-10-29T15:54:15"/>
    <n v="1180"/>
    <s v="内藤 宏治"/>
    <x v="2"/>
    <s v="松永 圭悟 (フロントエンドエンジニア実践研修(React) 初級編、中級編担当)"/>
    <n v="3"/>
    <x v="1"/>
    <n v="3"/>
    <n v="3"/>
    <n v="1"/>
    <n v="3"/>
    <n v="3"/>
    <s v="分からない"/>
    <s v="どう設計するのがベターだったのかを見たいので、完成したリポジトリのリンクなどが教材下部にあると嬉しかったです。"/>
    <s v="非常に緊張してたので、Reactの分野に関して講師なのでもっと自信を持っていいと思いました！"/>
    <x v="0"/>
  </r>
  <r>
    <d v="2025-10-31T17:34:03"/>
    <s v="001324"/>
    <s v="藤原 康敬"/>
    <x v="5"/>
    <s v="天野 盛介 (クラウドインフラエンジニア実践研修(AWS) 初級編、中級編担当)"/>
    <n v="4"/>
    <x v="1"/>
    <n v="4"/>
    <n v="3"/>
    <n v="3"/>
    <n v="4"/>
    <n v="4"/>
    <s v="ある"/>
    <s v="アプリを稼働させる基盤構築に加え、サードパーティ製品（例：Datadog、New Relic、Prometheus/Grafanaなど）を用いたオブザーバビリティ強化についても学びたいです。特に、APM（Application Performance Monitoring）ツールを導入し、アプリケーションのパフォーマンス分析やボトルネックの特定を行う実践的な演習があると、より現場で役立つと感じます。"/>
    <s v="チェックシートに記載していなかった疑問点等に関しても回答してくださり、ありがとうございました。"/>
    <x v="0"/>
  </r>
  <r>
    <d v="2025-10-31T18:26:49"/>
    <n v="1032"/>
    <s v="叶内郁也"/>
    <x v="2"/>
    <s v="柴﨑 良平 (フロントエンドエンジニア実践研修(React) 中級編担当)"/>
    <n v="4"/>
    <x v="0"/>
    <n v="4"/>
    <n v="4"/>
    <n v="4"/>
    <n v="4"/>
    <n v="4"/>
    <s v="ある"/>
    <s v="next.jsやreduxは実践的に初めて学べたため、今後のモデルとして役立ついい経験となりました。"/>
    <s v="特にはありません。"/>
    <x v="0"/>
  </r>
  <r>
    <d v="2025-10-31T18:36:40"/>
    <n v="1332"/>
    <s v="江端隼樹"/>
    <x v="2"/>
    <s v="柴﨑 良平 (フロントエンドエンジニア実践研修(React) 中級編担当)"/>
    <n v="4"/>
    <x v="1"/>
    <n v="3"/>
    <n v="2"/>
    <n v="3"/>
    <n v="4"/>
    <n v="4"/>
    <s v="ある"/>
    <s v="最後の課題の内容が少しボリューミーだった"/>
    <s v="適切にアドバイスをもらった"/>
    <x v="0"/>
  </r>
  <r>
    <d v="2025-11-18T16:57:04"/>
    <n v="1362"/>
    <s v="橋本 聡太"/>
    <x v="7"/>
    <s v="野川 錦策 (クラウドインフラエンジニア実践研修(GC) 初級編、中級編担当)"/>
    <n v="3"/>
    <x v="1"/>
    <n v="4"/>
    <n v="3"/>
    <n v="2"/>
    <n v="4"/>
    <n v="4"/>
    <s v="ある"/>
    <s v="初級編にしては難易度が高いと感じたので、構築リソースを見直すか、研修の教材をより丁寧すると良いと思いました。"/>
    <s v="ご丁寧に説明いただきありがとうございます。"/>
    <x v="1"/>
  </r>
  <r>
    <d v="2025-11-18T18:16:30"/>
    <n v="1422"/>
    <s v="吉田 夢来"/>
    <x v="12"/>
    <s v="相馬 大智 (バックエンドエンジニア実践研修(PHP) 初級編担当)"/>
    <n v="4"/>
    <x v="1"/>
    <n v="4"/>
    <n v="4"/>
    <n v="4"/>
    <n v="4"/>
    <n v="4"/>
    <s v="ある"/>
    <s v="Laravelの課題に取り組む中でルーティングやMVCモデルの基礎を体系的に学ぶことができました。これにより、案件に参画する上での基礎力をしっかりと身につけることができたと感じています。"/>
    <s v="チーム開発におけるコーディングで意識すべき点や、AIを活用した効率的なコーディング方法など、限られた時間の中で非常に実践的かつ多様な知識を教えていただきました。この機会を活かし、今後エンジニアとしてさらに成長していきたいと強く思いました。"/>
    <x v="2"/>
  </r>
  <r>
    <d v="2025-11-19T10:32:27"/>
    <n v="291"/>
    <s v="澤田 翼"/>
    <x v="7"/>
    <s v="野川 錦策 (クラウドインフラエンジニア実践研修(GC) 初級編、中級編担当)"/>
    <n v="3"/>
    <x v="1"/>
    <n v="3"/>
    <n v="4"/>
    <n v="2"/>
    <n v="4"/>
    <n v="4"/>
    <s v="ある"/>
    <s v="GCを体系的に学ぶ機会が欲しかったためその点においては良かったし課題のレベル感や_x000a_題材も適切なものであったと思う。_x000a_ただ初級でも成果物作成においてterraformを使う研修であることを事前に知らされていなかったためその点は面食らった。多少GCを学ぶハードルにもなる点のため、概要で記載し事前に通知すべきと思う。_x000a_また、10-12月期の研修であるにもかかわらず1on1が11月中旬に1回のみしか設定されないことはいただけないと感じた。"/>
    <s v="適切なアドバイス、ありがとうございました。"/>
    <x v="2"/>
  </r>
  <r>
    <d v="2025-11-19T16:04:29"/>
    <s v="001151"/>
    <s v="大山晃介"/>
    <x v="3"/>
    <s v="天野 盛介 (クラウドインフラエンジニア実践研修(AWS) 初級編、中級編担当)"/>
    <n v="3"/>
    <x v="1"/>
    <n v="3"/>
    <n v="3"/>
    <n v="3"/>
    <n v="3"/>
    <n v="3"/>
    <s v="ある"/>
    <s v="ec2で実行するコマンドなど、手順書と問題で異なっていたので差異がないようにしてほしい。"/>
    <s v="真摯にご対応いただきました。"/>
    <x v="2"/>
  </r>
  <r>
    <d v="2025-11-21T18:43:16"/>
    <s v="000023"/>
    <s v="齋藤 充裕"/>
    <x v="13"/>
    <s v="友井川 翔太 (バックエンドエンジニア実践研修(Python) 初級編、中級編担当)"/>
    <n v="3"/>
    <x v="2"/>
    <n v="3"/>
    <n v="3"/>
    <n v="3"/>
    <n v="4"/>
    <n v="4"/>
    <s v="ある"/>
    <s v="特になし"/>
    <s v="1on1でとても丁寧に解説してくれてわかりやすかったです。"/>
    <x v="2"/>
  </r>
  <r>
    <d v="2025-11-25T19:00:07"/>
    <n v="1090"/>
    <s v="入道裕康"/>
    <x v="1"/>
    <s v="長沢 宏彦"/>
    <n v="3"/>
    <x v="0"/>
    <n v="3"/>
    <n v="3"/>
    <n v="3"/>
    <n v="3"/>
    <n v="3"/>
    <s v="ある"/>
    <s v="研修の流れは大変わかりやすいと思いました。ただ講座案内の際にudemyの内容を把握していることとするのは前提知識として過剰すぎるように感じました。_x000a_また、udemyの講座では最新のreactではviteでプロジェクト作成するように訂正が入っていたところ、研修内ではエントリーポイントがindex.jsxで名付けられているなど現在非推奨のCRAで実装する想定になっていそうな印象を受け混乱しました。"/>
    <s v="参考になりました。"/>
    <x v="2"/>
  </r>
  <r>
    <d v="2025-11-26T16:49:16"/>
    <n v="1357"/>
    <s v="松岡沙貴"/>
    <x v="1"/>
    <s v="長沢 宏彦"/>
    <n v="4"/>
    <x v="1"/>
    <n v="4"/>
    <n v="4"/>
    <n v="4"/>
    <n v="4"/>
    <n v="4"/>
    <s v="ある"/>
    <s v="実務にすぐ活かせる内容が多く、有意義な研修でした。"/>
    <s v="質問しやすい雰囲気を作ってくださり、安心して受講できました。"/>
    <x v="2"/>
  </r>
  <r>
    <d v="2025-11-26T17:39:25"/>
    <n v="1042"/>
    <s v="坂井田啓太"/>
    <x v="1"/>
    <s v="長沢 宏彦"/>
    <n v="4"/>
    <x v="0"/>
    <n v="4"/>
    <n v="4"/>
    <n v="4"/>
    <n v="4"/>
    <n v="4"/>
    <s v="ある"/>
    <s v="今まで負入れたことないReactについて適切な難易度で学習することができたと感じます。"/>
    <s v="とても丁寧にアドバイスいただき、初めての React 学習でしたが自信を持つことができました。_x000a_今後は中級にも取り組む予定ですので、また機会がありましたらよろしくお願いいたします。"/>
    <x v="2"/>
  </r>
  <r>
    <d v="2025-11-27T15:39:55"/>
    <s v="001335"/>
    <s v="福岡駿"/>
    <x v="9"/>
    <s v="長沢 宏彦"/>
    <n v="3"/>
    <x v="1"/>
    <n v="4"/>
    <n v="3"/>
    <n v="3"/>
    <n v="4"/>
    <n v="4"/>
    <s v="ある"/>
    <s v="Vueの基礎的な内容を用いて一つ動くものを作ることができとても良い経験になりました"/>
    <s v="本研修の対応部分だけでなく実務観点でどう拡張していくと良いか教えていただきとても参考になりました"/>
    <x v="2"/>
  </r>
  <r>
    <d v="2025-11-28T13:05:31"/>
    <n v="1328"/>
    <s v="山本 豪"/>
    <x v="8"/>
    <s v="長沢 宏彦"/>
    <n v="3"/>
    <x v="1"/>
    <n v="4"/>
    <n v="3"/>
    <n v="3"/>
    <n v="4"/>
    <n v="4"/>
    <s v="ある"/>
    <s v="学びの機会を与えていただける大変有意義な研修になっています。スケジュール調整や申請方法等で運営の方（特に張さん）が大変そうですが、すぐにレスポンスいただけて大変助かりました。ありがとうございました。"/>
    <s v="フィードバックでは実践するにあたって注意すべき点をご説明いただき、大変役に立ちました、ありがとうございました。"/>
    <x v="2"/>
  </r>
  <r>
    <d v="2025-11-28T15:38:33"/>
    <n v="1230"/>
    <s v="横山 奏人"/>
    <x v="14"/>
    <s v="長沢 宏彦"/>
    <n v="3"/>
    <x v="0"/>
    <n v="3"/>
    <n v="4"/>
    <n v="3"/>
    <n v="4"/>
    <n v="4"/>
    <s v="ある"/>
    <s v="今回の成果物に関してですが、TODOアプリの実装は配属先の研修と類似していたため、受講者側で作成する成果物を複数から選択する方針もいいかもしれないと感じました。"/>
    <s v="この度は成果物の確認およびフィードバックの実施をいただき、誠にありがとうございました。_x000a_短い時間ではありましたが、成果物だけでなく、開発エンジニアとしてキャリアを進める上で疑問や不安に感じていたことについてもお話を聞いていただけて良かったです。_x000a_引き続き精進していきます。ありがとうございました。"/>
    <x v="2"/>
  </r>
  <r>
    <d v="2025-12-03T16:43:48"/>
    <n v="1240"/>
    <s v="谷本佳史"/>
    <x v="5"/>
    <s v="天野 盛介"/>
    <n v="2"/>
    <x v="1"/>
    <n v="3"/>
    <n v="3"/>
    <n v="3"/>
    <n v="2"/>
    <n v="3"/>
    <s v="分からない"/>
    <s v="時間がない中だったが、AI活用や資料の丁寧さ、スタッフの皆さんのフォローが充実していて達成できました。ありがとうございました。"/>
    <s v="面談当日、講師の方が時間の勘違いで遅刻されていたので、気をつけた方がいいかと思いました。また、終了時間もこちらから伝えないと意識してなさそうだったのは、よろしくないかと思いました。質問内容については、ややこしい質問にも真摯にお答えいただいたように感じます。"/>
    <x v="2"/>
  </r>
  <r>
    <d v="2025-12-03T17:52:16"/>
    <n v="1229"/>
    <s v="山本麗"/>
    <x v="5"/>
    <s v="天野 盛介"/>
    <n v="4"/>
    <x v="0"/>
    <n v="4"/>
    <n v="4"/>
    <n v="4"/>
    <n v="4"/>
    <n v="4"/>
    <s v="ある"/>
    <s v="コンテナ以外の知識も身につけられる充実した研修でした。"/>
    <s v="私の質疑に対してとてもスマートに回答していただきありがとうございました。"/>
    <x v="2"/>
  </r>
  <r>
    <d v="2025-12-04T10:46:27"/>
    <s v="001436"/>
    <s v="小宮 愛子"/>
    <x v="5"/>
    <s v="天野 盛介"/>
    <n v="3"/>
    <x v="1"/>
    <n v="3"/>
    <n v="3"/>
    <n v="3"/>
    <n v="2"/>
    <n v="3"/>
    <s v="ある"/>
    <s v="作業手順書においては、何のためにこの作業をするのか、目的などをもう少し細かい記載がああると親切だと感じた。また、"/>
    <s v="成果物として提出するチェックシートですが、面談時にしっかりみていないのかな？と感じ、提出する意味はあったのか少し疑問に思いました。"/>
    <x v="2"/>
  </r>
  <r>
    <d v="2025-12-10T13:16:59"/>
    <n v="746"/>
    <s v="冨田和也"/>
    <x v="5"/>
    <s v="天野 盛介"/>
    <n v="4"/>
    <x v="0"/>
    <n v="4"/>
    <n v="4"/>
    <n v="3"/>
    <n v="4"/>
    <n v="4"/>
    <s v="ある"/>
    <s v="特になし"/>
    <s v="特になし"/>
    <x v="2"/>
  </r>
  <r>
    <d v="2025-12-10T14:38:45"/>
    <s v="000977"/>
    <s v="田村直也"/>
    <x v="5"/>
    <s v="天野 盛介"/>
    <n v="3"/>
    <x v="1"/>
    <n v="3"/>
    <n v="3"/>
    <n v="3"/>
    <n v="3"/>
    <n v="3"/>
    <s v="ある"/>
    <s v="インフラはなかなか自分で手を動かすのはハードルがあったため勉強になった"/>
    <s v="特になし"/>
    <x v="2"/>
  </r>
  <r>
    <d v="2025-12-10T15:46:15"/>
    <n v="1429"/>
    <s v="成岡 匠"/>
    <x v="5"/>
    <s v="天野 盛介"/>
    <n v="4"/>
    <x v="0"/>
    <n v="3"/>
    <n v="4"/>
    <n v="3"/>
    <n v="4"/>
    <n v="4"/>
    <s v="ある"/>
    <s v="普段触らないような領域を経験できてよかったです。"/>
    <s v="親切に対応してくださいました。ありがとうざいました。"/>
    <x v="2"/>
  </r>
  <r>
    <d v="2025-12-10T16:22:04"/>
    <n v="581"/>
    <s v="亀田奈々子"/>
    <x v="5"/>
    <s v="天野 盛介"/>
    <n v="4"/>
    <x v="0"/>
    <n v="4"/>
    <n v="4"/>
    <n v="3"/>
    <n v="4"/>
    <n v="4"/>
    <s v="ある"/>
    <s v="インフラ領域を主担当としていますが、アプリケーションのビルドやコード管理まで踏み込んで学習できたのが非常に良かったです。 逆にアプリケーション担当の方が受講しても、サーバー構成やネットワークなどのインフラ知識を体系的に習得できるため、職種を問わず非常に学びの多い研修だと思います。"/>
    <s v="CognitoやAPIGatewayの理解が浅いのでそちらの研修も用意していただけると嬉しいです。"/>
    <x v="2"/>
  </r>
  <r>
    <d v="2025-12-12T19:07:42"/>
    <n v="1422"/>
    <s v="吉田 夢来"/>
    <x v="11"/>
    <s v="上村 直也"/>
    <n v="4"/>
    <x v="1"/>
    <n v="4"/>
    <n v="4"/>
    <n v="4"/>
    <n v="4"/>
    <n v="4"/>
    <s v="ある"/>
    <s v="実践研修の課題を通して、Flutterに関する基礎的な知識と技術を体系的に学ぶことができました。"/>
    <s v="1on1フィードバックを通してflutter課題を進める中での気になる点だけでなく、業務におけるAI利用などについても知識についても深めることができ、大変勉強になりました。"/>
    <x v="2"/>
  </r>
  <r>
    <d v="2025-12-15T11:50:48"/>
    <n v="698"/>
    <s v="須永 康介"/>
    <x v="2"/>
    <s v="柴﨑 良平"/>
    <n v="4"/>
    <x v="1"/>
    <n v="4"/>
    <n v="4"/>
    <n v="4"/>
    <n v="4"/>
    <n v="4"/>
    <s v="ある"/>
    <s v="実践的な内容で、実務でも試してみたいと思いました。学習内容のさらに応用や発展的な実装例もあると、今後のスキルアップの指針として役に立つのではないかと思いました。"/>
    <s v="丁寧でわかりやすいフィードバックをいただけました。"/>
    <x v="2"/>
  </r>
  <r>
    <d v="2025-12-18T14:01:07"/>
    <n v="1048"/>
    <s v="長谷 優作"/>
    <x v="2"/>
    <s v="柴﨑 良平"/>
    <n v="4"/>
    <x v="0"/>
    <n v="4"/>
    <n v="4"/>
    <n v="4"/>
    <n v="4"/>
    <n v="4"/>
    <s v="ある"/>
    <s v="ありがとうございました！"/>
    <s v="ありがとうございました！"/>
    <x v="2"/>
  </r>
  <r>
    <d v="2025-12-18T14:44:27"/>
    <n v="1042"/>
    <s v="坂井田啓太"/>
    <x v="2"/>
    <s v="柴﨑 良平"/>
    <n v="4"/>
    <x v="1"/>
    <n v="4"/>
    <n v="4"/>
    <n v="4"/>
    <n v="4"/>
    <n v="4"/>
    <s v="分からない"/>
    <s v="Next.jsとReduxでモダンな開発技術を体系的に学べました。"/>
    <s v="こちらの回線状況が悪く、お時間を取らせてしまい申し訳ありませんでした。_x000a_そのような中でも、コードレビューや実際の動作確認、また質問事項についても丁寧にご対応いただき、ありがとうございました。"/>
    <x v="2"/>
  </r>
  <r>
    <d v="2025-12-18T15:12:56"/>
    <n v="406"/>
    <s v="佐山 次巳"/>
    <x v="2"/>
    <s v="柴﨑 良平"/>
    <n v="4"/>
    <x v="1"/>
    <n v="4"/>
    <n v="3"/>
    <n v="4"/>
    <n v="4"/>
    <n v="4"/>
    <s v="ある"/>
    <s v="テストの部分について、テストファイルを __tests__ フォルダに配置する方法が最初に紹介されていますが、テストファイルを専用のフォルダに集めて管理する方法も教えて頂けると良かった。"/>
    <s v="丁寧に解説と不明点に答えて頂き、助かりました。"/>
    <x v="2"/>
  </r>
  <r>
    <d v="2025-12-18T19:29:56"/>
    <n v="982"/>
    <s v="齋藤佑樹"/>
    <x v="2"/>
    <s v="柴﨑 良平"/>
    <n v="3"/>
    <x v="2"/>
    <n v="3"/>
    <n v="3"/>
    <n v="3"/>
    <n v="3"/>
    <n v="3"/>
    <s v="ある"/>
    <s v="実際のプロジェクトで活かせる内容だと感じました。"/>
    <s v="拡張機能を教えていただけてよかったです。ありがとうございました。"/>
    <x v="2"/>
  </r>
  <r>
    <d v="2025-12-19T14:37:56"/>
    <n v="149"/>
    <s v="鶴若大輔"/>
    <x v="2"/>
    <s v="柴﨑 良平"/>
    <n v="3"/>
    <x v="0"/>
    <n v="4"/>
    <n v="4"/>
    <n v="2"/>
    <n v="4"/>
    <n v="4"/>
    <s v="ある"/>
    <s v="教材のテキストをコピー＆ペーストすると変な部分で改行が入るので項目をチェックしつつ作業をする時にやりにくかった"/>
    <s v="特になし"/>
    <x v="2"/>
  </r>
  <r>
    <d v="2026-02-20T17:25:20"/>
    <n v="1347"/>
    <s v="菊地修司"/>
    <x v="3"/>
    <s v="小野 広平"/>
    <n v="2"/>
    <x v="0"/>
    <n v="4"/>
    <n v="3"/>
    <n v="2"/>
    <n v="2"/>
    <n v="2"/>
    <s v="ある"/>
    <s v="フィードバック時にお伝えした通りです"/>
    <s v="特になし"/>
    <x v="2"/>
  </r>
  <r>
    <d v="2026-02-24T15:08:52"/>
    <s v="001336"/>
    <s v="水野 雄貴"/>
    <x v="3"/>
    <s v="小野 広平"/>
    <n v="4"/>
    <x v="0"/>
    <n v="4"/>
    <n v="4"/>
    <n v="4"/>
    <n v="4"/>
    <n v="4"/>
    <s v="ある"/>
    <s v="CFnとTerraformの両方のIaCを学べるのは非常に良い経験になりました。"/>
    <s v="疑問点についてもお答えしていただけたので分かりやすかったです。"/>
    <x v="2"/>
  </r>
  <r>
    <d v="2026-02-24T16:12:41"/>
    <n v="1223"/>
    <s v="水野 永遠"/>
    <x v="3"/>
    <s v="小野 広平"/>
    <n v="3"/>
    <x v="0"/>
    <n v="3"/>
    <n v="3"/>
    <n v="3"/>
    <n v="3"/>
    <n v="3"/>
    <s v="ある"/>
    <s v="AWSを扱うインフラエンジニアとしての基礎的な知識を網羅できたと感じます_x000a_CloudWatchを使用したメトリクスに応じてアラートを発報するという経験を積むことができたのは今後役に立つ可能性があると感じました。"/>
    <s v="特にないです。"/>
    <x v="2"/>
  </r>
  <r>
    <d v="2026-02-24T17:16:09"/>
    <n v="1203"/>
    <s v="佐久間陵河"/>
    <x v="3"/>
    <s v="小野 広平"/>
    <n v="4"/>
    <x v="0"/>
    <n v="4"/>
    <n v="4"/>
    <n v="4"/>
    <n v="4"/>
    <n v="4"/>
    <s v="ある"/>
    <s v="普段実務で経験できないようなリソースを扱えたことが良かったです。"/>
    <s v="Wordpressを使用したwebサイトをホストする方法以外にも、S3を使用してホストする手法が主流になってきているといった情報を教えていただいたので調べてみようと思いました。"/>
    <x v="2"/>
  </r>
  <r>
    <d v="2026-02-27T14:11:04"/>
    <n v="1049"/>
    <s v="永畑 潤也"/>
    <x v="5"/>
    <s v="小野 広平"/>
    <n v="4"/>
    <x v="0"/>
    <n v="4"/>
    <n v="4"/>
    <n v="4"/>
    <n v="4"/>
    <n v="4"/>
    <s v="ある"/>
    <s v="特にありません。"/>
    <s v="本日はFBを頂きまして、ありがとうございました。"/>
    <x v="2"/>
  </r>
  <r>
    <d v="2026-02-27T15:20:32"/>
    <n v="932"/>
    <s v="藤原宏美"/>
    <x v="5"/>
    <s v="小野 広平"/>
    <n v="4"/>
    <x v="0"/>
    <n v="4"/>
    <n v="4"/>
    <n v="3"/>
    <n v="4"/>
    <n v="4"/>
    <s v="ある"/>
    <s v="期日が短めだと感じました。"/>
    <s v="より突っ込んだ技術的な説明をいただけて良かったです。"/>
    <x v="2"/>
  </r>
  <r>
    <d v="2026-03-05T18:08:04"/>
    <s v="0109"/>
    <s v="永岡鼓子"/>
    <x v="0"/>
    <s v="永谷 裕子"/>
    <n v="4"/>
    <x v="0"/>
    <n v="4"/>
    <n v="4"/>
    <n v="4"/>
    <n v="4"/>
    <n v="4"/>
    <s v="ある"/>
    <s v="３人チームが1番話のバランス的に良さそうと思いました。"/>
    <s v="ご自身の体験などご経験が豊富でありがたい話を聞けました。"/>
    <x v="2"/>
  </r>
  <r>
    <d v="2026-03-05T18:08:32"/>
    <n v="1477"/>
    <s v="岩塚春樹"/>
    <x v="0"/>
    <s v="永谷 裕子"/>
    <n v="4"/>
    <x v="0"/>
    <n v="4"/>
    <n v="4"/>
    <n v="4"/>
    <n v="4"/>
    <n v="4"/>
    <s v="ある"/>
    <s v="豊富な経験と確かな知識に基づいた研修で勉強になった。"/>
    <s v="講師の永谷さんの人柄が良く、研修内容が頭に入りやすかったです。ありがとうございました。"/>
    <x v="2"/>
  </r>
  <r>
    <d v="2026-03-05T18:09:23"/>
    <n v="1471"/>
    <s v="岩東雄大"/>
    <x v="0"/>
    <s v="永谷 裕子"/>
    <n v="4"/>
    <x v="0"/>
    <n v="4"/>
    <n v="4"/>
    <n v="4"/>
    <n v="4"/>
    <n v="4"/>
    <s v="ある"/>
    <s v="休憩をもう少しこまめにほしい_x000a_aiを使ったpmの進め方も将来学びたい"/>
    <s v="一番苦労したプロジェクトの話などを聞きたいです"/>
    <x v="2"/>
  </r>
  <r>
    <d v="2026-03-05T18:09:24"/>
    <n v="444"/>
    <s v="城戸咲恵"/>
    <x v="0"/>
    <s v="永谷 裕子"/>
    <n v="4"/>
    <x v="0"/>
    <n v="4"/>
    <n v="3"/>
    <n v="4"/>
    <n v="4"/>
    <n v="4"/>
    <s v="ある"/>
    <s v="自分のPMとしての技量や経験に不安があったが、体系的な学びを得ることで、自信や今後の方向性の気づきにつながる大変良い機会でした。"/>
    <s v="永谷講師の経験ベースでの話や、例え話のおかげでより講義の内容の理解が深まりました。今日学んだことを自分のチームのメンバーにも伝えていきたいなと思いました。_x000a_ありがとうございました！"/>
    <x v="2"/>
  </r>
  <r>
    <d v="2026-03-05T18:09:29"/>
    <s v="001533"/>
    <s v="篠子千春"/>
    <x v="0"/>
    <s v="永谷 裕子"/>
    <n v="4"/>
    <x v="0"/>
    <n v="4"/>
    <n v="3"/>
    <n v="4"/>
    <n v="4"/>
    <n v="4"/>
    <s v="ある"/>
    <s v="グループワークがあってよかった"/>
    <s v="ウィットに富んでいた方で楽しかった"/>
    <x v="2"/>
  </r>
  <r>
    <d v="2026-03-05T18:09:41"/>
    <n v="1168"/>
    <s v="濱崎祐輔"/>
    <x v="0"/>
    <s v="永谷 裕子"/>
    <n v="4"/>
    <x v="0"/>
    <n v="4"/>
    <n v="3"/>
    <n v="3"/>
    <n v="4"/>
    <n v="4"/>
    <s v="ある"/>
    <s v="実践的に使える知識を学ぶことが出来た_x000a_規模は小さいがチームを管理する立場なので今回学んだこと、特にコミュニケーションとコントロールの部分に注力したい"/>
    <s v="ご経験踏まえ楽しく、飽きずに2日間学べました_x000a_また機会があれば教えて頂きたい思います_x000a_今後pmに関する知識を深めるにあたり、気になることはどんどん質問させて頂きます"/>
    <x v="2"/>
  </r>
  <r>
    <d v="2026-03-05T18:10:17"/>
    <n v="809"/>
    <s v="林田玲音"/>
    <x v="0"/>
    <s v="永谷 裕子"/>
    <n v="3"/>
    <x v="1"/>
    <n v="4"/>
    <n v="4"/>
    <n v="3"/>
    <n v="3"/>
    <n v="4"/>
    <s v="ある"/>
    <s v="自分自身が何となくで実施していたマネジメントっぽいことを、何が正解か良くなかったのか理解できてとても良かったです。_x000a_自分自身がどういうタイプかの理解にも役立ちました。"/>
    <s v="長年の経験から、PMに関する色んな問いに対して回答をいただけたのでとても良かったです。"/>
    <x v="2"/>
  </r>
  <r>
    <d v="2026-03-05T18:11:32"/>
    <n v="486"/>
    <s v="天野 典昭"/>
    <x v="0"/>
    <s v="永谷 裕子"/>
    <n v="4"/>
    <x v="0"/>
    <n v="4"/>
    <n v="4"/>
    <n v="4"/>
    <n v="4"/>
    <n v="4"/>
    <s v="ある"/>
    <s v="案件でマネジメントタスクを行うことはありましたが、きちんと学ぶ機会はなかったため、実践のワークを交えてより理解を深めることができたところはよかったと思います。"/>
    <s v="実際の体験談を交えて説明頂いたところはより分かりやすかったと思います。"/>
    <x v="2"/>
  </r>
  <r>
    <d v="2026-03-05T18:12:56"/>
    <n v="554"/>
    <s v="秋葉大輔"/>
    <x v="0"/>
    <s v="永谷 裕子"/>
    <n v="4"/>
    <x v="0"/>
    <n v="4"/>
    <n v="4"/>
    <n v="3"/>
    <n v="4"/>
    <n v="4"/>
    <s v="ある"/>
    <s v="開始前は書面での実施に煩わしさを感じていましたが、グループワークなどは楽しくできたので、結果良かったと思いました"/>
    <s v="二日間ありがとうございました！_x000a_実際の仕事でも使えそうな知識もいろいろ教えていただき大変参考になりました"/>
    <x v="2"/>
  </r>
  <r>
    <d v="2026-03-12T14:49:46"/>
    <n v="462"/>
    <s v="野原崇"/>
    <x v="1"/>
    <s v="長沢 宏彦"/>
    <n v="3"/>
    <x v="1"/>
    <n v="3"/>
    <n v="3"/>
    <n v="3"/>
    <n v="3"/>
    <n v="3"/>
    <s v="分からない"/>
    <s v="ボリューム感は適切と感じる。"/>
    <s v="色々話せるフレンドリーな雰囲気でよかった。"/>
    <x v="2"/>
  </r>
  <r>
    <d v="2026-03-12T18:12:31"/>
    <s v="0625"/>
    <s v="三好真里絵"/>
    <x v="1"/>
    <s v="長沢 宏彦"/>
    <n v="4"/>
    <x v="0"/>
    <n v="4"/>
    <n v="4"/>
    <n v="4"/>
    <n v="4"/>
    <n v="4"/>
    <s v="ある"/>
    <s v="個人のペースで学習を進められるスタイルは業務都合と調整しやすくていいと思うのですが、後回しになってしまったり、前回までの学習を忘れてしまったりなどしてなかなかスムーズに学習できなかったタイミングもあったので、_x000a_講師とハンズオンで一緒に学んでいく機会や会話・質問しながら進めていくスタイル(短期集中型？)があるといいなと思いました。"/>
    <s v="体裁的なことだけでなく、「実務ではこういったケースが多い」といった情報や、「どうすればこの不備に気づくことができるのか」といったも含めてご教授いただけたので、イメージも掴みやすく、実際の現場で役立つ知識を得ることができました。_x000a__x000a_単にミスを指摘するだけでなく、実際の現場で経験されてきた方だからこそ、「なかなか気づきにくいところですが、、」「納期が近いとこうしてしまうこともありますが、、」といった形で、生のエンジニアに寄り添った話し方をしていただけたので、安心してフィードバックを受けることができました。_x000a__x000a_"/>
    <x v="2"/>
  </r>
  <r>
    <d v="2026-03-13T12:03:42"/>
    <n v="806"/>
    <s v="設楽淳太"/>
    <x v="7"/>
    <s v="野川 錦策"/>
    <n v="4"/>
    <x v="0"/>
    <n v="4"/>
    <n v="4"/>
    <n v="4"/>
    <n v="4"/>
    <n v="4"/>
    <s v="ある"/>
    <s v="チェックリスト（小テスト）みたいなもので、なぜそうなるかみたいなものがあると理解がさらに深まりそうと思いました。"/>
    <s v="スムーズに対応してもらいました"/>
    <x v="2"/>
  </r>
  <r>
    <d v="2026-03-13T14:45:02"/>
    <n v="1151"/>
    <s v="大山晃介"/>
    <x v="7"/>
    <s v="野川 錦策"/>
    <n v="3"/>
    <x v="1"/>
    <n v="4"/>
    <n v="3"/>
    <n v="3"/>
    <n v="3"/>
    <n v="3"/>
    <s v="ある"/>
    <s v="実践的な構成図を作成するという研修で、とても歯ごたえがありました。"/>
    <s v="とても丁寧に解説をいただけて大変ありがたかったです。"/>
    <x v="2"/>
  </r>
  <r>
    <d v="2026-03-24T11:28:40"/>
    <n v="908"/>
    <s v="丸山 薫平"/>
    <x v="6"/>
    <s v="野川 錦策"/>
    <n v="3"/>
    <x v="1"/>
    <n v="3"/>
    <n v="3"/>
    <n v="3"/>
    <n v="3"/>
    <n v="3"/>
    <s v="分からない"/>
    <s v="もう少し現場向けにすぐに使えるリソースを含めてほしい"/>
    <s v="良い方でした"/>
    <x v="2"/>
  </r>
  <r>
    <d v="2026-03-26T16:31:31"/>
    <n v="561"/>
    <s v="齋藤和久"/>
    <x v="2"/>
    <s v="長沢 宏彦"/>
    <n v="3"/>
    <x v="0"/>
    <n v="4"/>
    <n v="4"/>
    <n v="3"/>
    <n v="4"/>
    <n v="4"/>
    <s v="ある"/>
    <s v="業務に必要な内容は網羅できていたと思うので有意義でした。"/>
    <s v="フィードバックもわかりやすく、対応も丁寧でした。ありがとうございました。"/>
    <x v="2"/>
  </r>
  <r>
    <d v="2026-03-31T11:00:46"/>
    <s v="001510"/>
    <s v="小山朔弥"/>
    <x v="6"/>
    <s v="野川 錦策"/>
    <n v="3"/>
    <x v="1"/>
    <n v="3"/>
    <n v="4"/>
    <n v="2"/>
    <n v="3"/>
    <n v="3"/>
    <s v="ある"/>
    <s v="ワークフローにてZIPファイルを提出できるようにしてほしい"/>
    <s v="特になし"/>
    <x v="2"/>
  </r>
  <r>
    <d v="2026-03-31T14:30:05"/>
    <n v="404"/>
    <s v="米倉秀俊"/>
    <x v="6"/>
    <s v="野川 錦策"/>
    <n v="2"/>
    <x v="0"/>
    <n v="4"/>
    <n v="4"/>
    <n v="4"/>
    <n v="3"/>
    <n v="4"/>
    <s v="ある"/>
    <s v="学習するきっかけにはなったのだが、あまり講師の方と話す機会が無く、有償の研修の意義をあまり感じなかった"/>
    <s v="なし"/>
    <x v="2"/>
  </r>
  <r>
    <d v="2026-04-02T08:46:46"/>
    <n v="1035"/>
    <s v="狩田鴻輝"/>
    <x v="1"/>
    <s v="長沢 宏彦"/>
    <n v="4"/>
    <x v="0"/>
    <n v="4"/>
    <n v="4"/>
    <n v="4"/>
    <n v="4"/>
    <n v="4"/>
    <s v="ある"/>
    <s v="今後、案件でのニーズが強いフロント言語の習得の第一歩目として今回はReact初級を受講させて頂きました。_x000a_フロントの知識は、実務でたまに使うJSと少しだけVueを知っている程度でしたが、今回でReactでの簡単なアプリ実装と、TypeScriptでの型定義＋自動テストを体系的に学ぶことが出来たため案件での実装作業がよりスムーズに行えるようになったと思います。_x000a_また、FB面談日程の変更など、急な対応にも迅速に答えてくださりありがとうございました。"/>
    <s v="まずは、講師の長沢様、このような貴重な機会を頂きましてありがとうございました。_x000a__x000a_感想としまして、FBはでReact研修の内容だけでなく「フロントエンド実装のアンチパターン」や「AI活用や心構え」等と、エンジニアとしてより一歩成長できる部分を楽しく話させて頂いたことで、より技術習得に対してモチベーションが上がりました。_x000a_また、zoomに参加するまでは、講師の方が他人行儀で質問もしにくい雰囲気なのかな・・と少し緊張していたのですが、開幕から凄く話しやすい雰囲気作りをして頂いたことで、短時間ではありましたがす"/>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ピボット テーブル" cacheId="17" applyNumberFormats="0" applyBorderFormats="0" applyFontFormats="0" applyPatternFormats="0" applyAlignmentFormats="0" applyWidthHeightFormats="0" dataCaption="" updatedVersion="8" compact="0" compactData="0">
  <location ref="A3:E17" firstHeaderRow="1" firstDataRow="2" firstDataCol="1" rowPageCount="1" colPageCount="1"/>
  <pivotFields count="16">
    <pivotField name="タイムスタンプ" compact="0" numFmtId="176" outline="0" multipleItemSelectionAllowed="1" showAll="0"/>
    <pivotField name="社員番号" compact="0" outline="0" multipleItemSelectionAllowed="1" showAll="0"/>
    <pivotField name="氏名" dataField="1" compact="0" outline="0" multipleItemSelectionAllowed="1" showAll="0"/>
    <pivotField name="研修名" axis="axisRow" compact="0" outline="0" multipleItemSelectionAllowed="1" showAll="0" sortType="ascending">
      <items count="16">
        <item x="3"/>
        <item x="5"/>
        <item x="7"/>
        <item x="6"/>
        <item x="4"/>
        <item x="11"/>
        <item x="10"/>
        <item x="12"/>
        <item x="14"/>
        <item x="13"/>
        <item x="0"/>
        <item x="1"/>
        <item x="2"/>
        <item x="9"/>
        <item x="8"/>
        <item t="default"/>
      </items>
    </pivotField>
    <pivotField name="担当した講師名をお選び下さい。" compact="0" outline="0" multipleItemSelectionAllowed="1" showAll="0"/>
    <pivotField name="① 研修に満足しましたか？（全く思わない：1、思わない：2、思う：3、強く思う：4）" compact="0" outline="0" multipleItemSelectionAllowed="1" showAll="0"/>
    <pivotField name="② 研修内容は理解出来ましたか？（全く理解出来ていない：1、理解出来ていない：2、理解出来ている：3、十分に理解出来ている：4）" axis="axisCol" compact="0" outline="0" multipleItemSelectionAllowed="1" showAll="0" sortType="ascending">
      <items count="4">
        <item x="2"/>
        <item x="1"/>
        <item x="0"/>
        <item t="default"/>
      </items>
    </pivotField>
    <pivotField name="③ 研修で新たな学びは得られましたか？または必要な知識は得られましたか？（全く得られていない：1、得られていない：2、得られている：3、十分に得られている：4）" compact="0" outline="0" multipleItemSelectionAllowed="1" showAll="0"/>
    <pivotField name="④ 研修内容のボリュームは適切でしたか？（全く適切ではない：1、適切ではない：2、適切である：3、十分に適切である：4）" compact="0" outline="0" multipleItemSelectionAllowed="1" showAll="0"/>
    <pivotField name="⑤ 研修のテキスト、教材に対して満足しましたか？（全く思わない：1、思わない：2、思う：3、強く思う：4）" compact="0" outline="0" multipleItemSelectionAllowed="1" showAll="0"/>
    <pivotField name="⑥ 講師の講義、あるいはフィードバックに対して満足しましたか？（全く思わない：1、思わない：2、思う：3、強く思う：4）" compact="0" outline="0" multipleItemSelectionAllowed="1" showAll="0"/>
    <pivotField name="⑦ 講師は研修内容に関する知識を持っていましたか  ？（全く持っていない：1、持っていない：2、持っている：3、十分に持っている：4）" compact="0" outline="0" multipleItemSelectionAllowed="1" showAll="0"/>
    <pivotField name="⑧  今回の研修で学んだことを、今後の業務で実践する機会はありそうですか？" compact="0" outline="0" multipleItemSelectionAllowed="1" showAll="0"/>
    <pivotField name="⑨ 研修に対する感想や要望などあれば、自由にご記入下さい。" compact="0" outline="0" multipleItemSelectionAllowed="1" showAll="0"/>
    <pivotField name="➉ 講師に対する感想や要望などあれば、自由にご記入下さい。" compact="0" outline="0" multipleItemSelectionAllowed="1" showAll="0"/>
    <pivotField name="受講時期" axis="axisPage" compact="0" outline="0" multipleItemSelectionAllowed="1" showAll="0">
      <items count="4">
        <item x="0"/>
        <item h="1" x="1"/>
        <item h="1" x="2"/>
        <item t="default"/>
      </items>
    </pivotField>
  </pivotFields>
  <rowFields count="1">
    <field x="3"/>
  </rowFields>
  <rowItems count="13">
    <i>
      <x/>
    </i>
    <i>
      <x v="1"/>
    </i>
    <i>
      <x v="2"/>
    </i>
    <i>
      <x v="3"/>
    </i>
    <i>
      <x v="4"/>
    </i>
    <i>
      <x v="5"/>
    </i>
    <i>
      <x v="6"/>
    </i>
    <i>
      <x v="10"/>
    </i>
    <i>
      <x v="11"/>
    </i>
    <i>
      <x v="12"/>
    </i>
    <i>
      <x v="13"/>
    </i>
    <i>
      <x v="14"/>
    </i>
    <i t="grand">
      <x/>
    </i>
  </rowItems>
  <colFields count="1">
    <field x="6"/>
  </colFields>
  <colItems count="4">
    <i>
      <x/>
    </i>
    <i>
      <x v="1"/>
    </i>
    <i>
      <x v="2"/>
    </i>
    <i t="grand">
      <x/>
    </i>
  </colItems>
  <pageFields count="1">
    <pageField fld="15" hier="0"/>
  </pageFields>
  <dataFields count="1">
    <dataField name="COUNTA of 氏名" fld="2"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P137">
  <autoFilter ref="A1:P137" xr:uid="{00000000-0009-0000-0100-000001000000}">
    <filterColumn colId="4">
      <filters>
        <filter val="永谷 裕子"/>
        <filter val="永谷 裕子 (プロジェクトマネージャー実践研修担当)"/>
      </filters>
    </filterColumn>
  </autoFilter>
  <tableColumns count="16">
    <tableColumn id="1" xr3:uid="{00000000-0010-0000-0000-000001000000}" name="タイムスタンプ"/>
    <tableColumn id="2" xr3:uid="{00000000-0010-0000-0000-000002000000}" name="社員番号"/>
    <tableColumn id="3" xr3:uid="{00000000-0010-0000-0000-000003000000}" name="氏名"/>
    <tableColumn id="4" xr3:uid="{00000000-0010-0000-0000-000004000000}" name="研修名をお選び下さい。"/>
    <tableColumn id="5" xr3:uid="{00000000-0010-0000-0000-000005000000}" name="担当した講師名をお選び下さい。"/>
    <tableColumn id="6" xr3:uid="{00000000-0010-0000-0000-000006000000}" name="① 研修に満足しましたか？（全く思わない：1、思わない：2、思う：3、強く思う：4）"/>
    <tableColumn id="7" xr3:uid="{00000000-0010-0000-0000-000007000000}" name="② 研修内容は理解出来ましたか？（全く理解出来ていない：1、理解出来ていない：2、理解出来ている：3、十分に理解出来ている：4）"/>
    <tableColumn id="8" xr3:uid="{00000000-0010-0000-0000-000008000000}" name="③ 研修で新たな学びは得られましたか？または必要な知識は得られましたか？（全く得られていない：1、得られていない：2、得られている：3、十分に得られている：4）"/>
    <tableColumn id="9" xr3:uid="{00000000-0010-0000-0000-000009000000}" name="④ 研修内容のボリュームは適切でしたか？（全く適切ではない：1、適切ではない：2、適切である：3、十分に適切である：4）"/>
    <tableColumn id="10" xr3:uid="{00000000-0010-0000-0000-00000A000000}" name="⑤ 研修のテキスト、教材に対して満足しましたか？（全く思わない：1、思わない：2、思う：3、強く思う：4）"/>
    <tableColumn id="11" xr3:uid="{00000000-0010-0000-0000-00000B000000}" name="⑥ 講師の講義、あるいはフィードバックに対して満足しましたか？（全く思わない：1、思わない：2、思う：3、強く思う：4）"/>
    <tableColumn id="12" xr3:uid="{00000000-0010-0000-0000-00000C000000}" name="⑦ 講師は研修内容に関する知識を持っていましたか  ？（全く持っていない：1、持っていない：2、持っている：3、十分に持っている：4）"/>
    <tableColumn id="13" xr3:uid="{00000000-0010-0000-0000-00000D000000}" name="⑧  今回の研修で学んだことを、今後の業務で実践する機会はありそうですか？"/>
    <tableColumn id="14" xr3:uid="{00000000-0010-0000-0000-00000E000000}" name="⑨ 研修に対する感想や要望などあれば、自由にご記入下さい。"/>
    <tableColumn id="15" xr3:uid="{00000000-0010-0000-0000-00000F000000}" name="➉ 講師に対する感想や要望などあれば、自由にご記入下さい。"/>
    <tableColumn id="16" xr3:uid="{00000000-0010-0000-0000-000010000000}" name="受講時期"/>
  </tableColumns>
  <tableStyleInfo name="アンケート結果-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237"/>
  <sheetViews>
    <sheetView tabSelected="1" workbookViewId="0">
      <pane ySplit="1" topLeftCell="A2" activePane="bottomLeft" state="frozen"/>
      <selection pane="bottomLeft"/>
    </sheetView>
  </sheetViews>
  <sheetFormatPr defaultColWidth="12.6640625" defaultRowHeight="15.75" customHeight="1" x14ac:dyDescent="0.25"/>
  <cols>
    <col min="1" max="1" width="18.88671875" customWidth="1"/>
    <col min="2" max="2" width="12.109375" customWidth="1"/>
    <col min="3" max="3" width="18.88671875" customWidth="1"/>
    <col min="4" max="4" width="40.6640625" customWidth="1"/>
    <col min="5" max="5" width="44.44140625" customWidth="1"/>
    <col min="6" max="13" width="37.6640625" customWidth="1"/>
    <col min="14" max="14" width="52" customWidth="1"/>
    <col min="15" max="15" width="53" customWidth="1"/>
    <col min="16" max="21" width="18.88671875" customWidth="1"/>
  </cols>
  <sheetData>
    <row r="1" spans="1:21"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3"/>
      <c r="R1" s="3"/>
      <c r="S1" s="3"/>
      <c r="T1" s="3"/>
      <c r="U1" s="3"/>
    </row>
    <row r="2" spans="1:21" ht="22.5" customHeight="1" x14ac:dyDescent="0.25">
      <c r="A2" s="4">
        <v>45875.740703611111</v>
      </c>
      <c r="B2" s="5">
        <v>586</v>
      </c>
      <c r="C2" s="5" t="s">
        <v>16</v>
      </c>
      <c r="D2" s="5" t="s">
        <v>17</v>
      </c>
      <c r="E2" s="5" t="s">
        <v>18</v>
      </c>
      <c r="F2" s="5">
        <v>4</v>
      </c>
      <c r="G2" s="5">
        <v>4</v>
      </c>
      <c r="H2" s="5">
        <v>4</v>
      </c>
      <c r="I2" s="5">
        <v>4</v>
      </c>
      <c r="J2" s="5">
        <v>4</v>
      </c>
      <c r="K2" s="5">
        <v>4</v>
      </c>
      <c r="L2" s="5">
        <v>4</v>
      </c>
      <c r="M2" s="5" t="s">
        <v>19</v>
      </c>
      <c r="N2" s="6"/>
      <c r="O2" s="6"/>
      <c r="P2" s="6" t="s">
        <v>20</v>
      </c>
    </row>
    <row r="3" spans="1:21" ht="22.5" customHeight="1" x14ac:dyDescent="0.25">
      <c r="A3" s="4">
        <v>45875.741073900463</v>
      </c>
      <c r="B3" s="5">
        <v>1295</v>
      </c>
      <c r="C3" s="5" t="s">
        <v>21</v>
      </c>
      <c r="D3" s="5" t="s">
        <v>17</v>
      </c>
      <c r="E3" s="5" t="s">
        <v>18</v>
      </c>
      <c r="F3" s="5">
        <v>4</v>
      </c>
      <c r="G3" s="5">
        <v>4</v>
      </c>
      <c r="H3" s="5">
        <v>4</v>
      </c>
      <c r="I3" s="5">
        <v>3</v>
      </c>
      <c r="J3" s="5">
        <v>3</v>
      </c>
      <c r="K3" s="5">
        <v>3</v>
      </c>
      <c r="L3" s="5">
        <v>4</v>
      </c>
      <c r="M3" s="5" t="s">
        <v>19</v>
      </c>
      <c r="N3" s="6" t="s">
        <v>22</v>
      </c>
      <c r="O3" s="6"/>
      <c r="P3" s="6" t="s">
        <v>20</v>
      </c>
    </row>
    <row r="4" spans="1:21" ht="22.5" customHeight="1" x14ac:dyDescent="0.25">
      <c r="A4" s="4">
        <v>45875.74160523148</v>
      </c>
      <c r="B4" s="5">
        <v>1117</v>
      </c>
      <c r="C4" s="5" t="s">
        <v>23</v>
      </c>
      <c r="D4" s="5" t="s">
        <v>17</v>
      </c>
      <c r="E4" s="5" t="s">
        <v>18</v>
      </c>
      <c r="F4" s="5">
        <v>4</v>
      </c>
      <c r="G4" s="5">
        <v>4</v>
      </c>
      <c r="H4" s="5">
        <v>4</v>
      </c>
      <c r="I4" s="5">
        <v>4</v>
      </c>
      <c r="J4" s="5">
        <v>4</v>
      </c>
      <c r="K4" s="5">
        <v>4</v>
      </c>
      <c r="L4" s="5">
        <v>4</v>
      </c>
      <c r="M4" s="5" t="s">
        <v>19</v>
      </c>
      <c r="N4" s="6" t="s">
        <v>24</v>
      </c>
      <c r="O4" s="6" t="s">
        <v>25</v>
      </c>
      <c r="P4" s="6" t="s">
        <v>20</v>
      </c>
    </row>
    <row r="5" spans="1:21" ht="22.5" customHeight="1" x14ac:dyDescent="0.25">
      <c r="A5" s="4">
        <v>45875.741766099542</v>
      </c>
      <c r="B5" s="5">
        <v>604</v>
      </c>
      <c r="C5" s="5" t="s">
        <v>26</v>
      </c>
      <c r="D5" s="5" t="s">
        <v>17</v>
      </c>
      <c r="E5" s="5" t="s">
        <v>18</v>
      </c>
      <c r="F5" s="5">
        <v>3</v>
      </c>
      <c r="G5" s="5">
        <v>4</v>
      </c>
      <c r="H5" s="5">
        <v>4</v>
      </c>
      <c r="I5" s="5">
        <v>4</v>
      </c>
      <c r="J5" s="5">
        <v>3</v>
      </c>
      <c r="K5" s="5">
        <v>3</v>
      </c>
      <c r="L5" s="5">
        <v>4</v>
      </c>
      <c r="M5" s="5" t="s">
        <v>19</v>
      </c>
      <c r="N5" s="6" t="s">
        <v>27</v>
      </c>
      <c r="O5" s="6"/>
      <c r="P5" s="6" t="s">
        <v>20</v>
      </c>
    </row>
    <row r="6" spans="1:21" ht="22.5" customHeight="1" x14ac:dyDescent="0.25">
      <c r="A6" s="4">
        <v>45875.742119085648</v>
      </c>
      <c r="B6" s="5">
        <v>1350</v>
      </c>
      <c r="C6" s="5" t="s">
        <v>28</v>
      </c>
      <c r="D6" s="5" t="s">
        <v>17</v>
      </c>
      <c r="E6" s="5" t="s">
        <v>18</v>
      </c>
      <c r="F6" s="5">
        <v>4</v>
      </c>
      <c r="G6" s="5">
        <v>3</v>
      </c>
      <c r="H6" s="5">
        <v>4</v>
      </c>
      <c r="I6" s="5">
        <v>4</v>
      </c>
      <c r="J6" s="5">
        <v>4</v>
      </c>
      <c r="K6" s="5">
        <v>4</v>
      </c>
      <c r="L6" s="5">
        <v>4</v>
      </c>
      <c r="M6" s="5" t="s">
        <v>19</v>
      </c>
      <c r="N6" s="6" t="s">
        <v>29</v>
      </c>
      <c r="O6" s="6" t="s">
        <v>30</v>
      </c>
      <c r="P6" s="6" t="s">
        <v>20</v>
      </c>
    </row>
    <row r="7" spans="1:21" ht="22.5" customHeight="1" x14ac:dyDescent="0.25">
      <c r="A7" s="4">
        <v>45875.742399062496</v>
      </c>
      <c r="B7" s="5">
        <v>1140</v>
      </c>
      <c r="C7" s="5" t="s">
        <v>31</v>
      </c>
      <c r="D7" s="5" t="s">
        <v>17</v>
      </c>
      <c r="E7" s="5" t="s">
        <v>18</v>
      </c>
      <c r="F7" s="5">
        <v>4</v>
      </c>
      <c r="G7" s="5">
        <v>4</v>
      </c>
      <c r="H7" s="5">
        <v>3</v>
      </c>
      <c r="I7" s="5">
        <v>4</v>
      </c>
      <c r="J7" s="5">
        <v>4</v>
      </c>
      <c r="K7" s="5">
        <v>3</v>
      </c>
      <c r="L7" s="5">
        <v>4</v>
      </c>
      <c r="M7" s="5" t="s">
        <v>19</v>
      </c>
      <c r="N7" s="6" t="s">
        <v>32</v>
      </c>
      <c r="O7" s="6"/>
      <c r="P7" s="6" t="s">
        <v>20</v>
      </c>
    </row>
    <row r="8" spans="1:21" ht="22.5" customHeight="1" x14ac:dyDescent="0.25">
      <c r="A8" s="4">
        <v>45875.74242505787</v>
      </c>
      <c r="B8" s="5">
        <v>367</v>
      </c>
      <c r="C8" s="5" t="s">
        <v>33</v>
      </c>
      <c r="D8" s="5" t="s">
        <v>17</v>
      </c>
      <c r="E8" s="5" t="s">
        <v>18</v>
      </c>
      <c r="F8" s="5">
        <v>4</v>
      </c>
      <c r="G8" s="5">
        <v>4</v>
      </c>
      <c r="H8" s="5">
        <v>4</v>
      </c>
      <c r="I8" s="5">
        <v>4</v>
      </c>
      <c r="J8" s="5">
        <v>4</v>
      </c>
      <c r="K8" s="5">
        <v>4</v>
      </c>
      <c r="L8" s="5">
        <v>4</v>
      </c>
      <c r="M8" s="5" t="s">
        <v>19</v>
      </c>
      <c r="N8" s="6" t="s">
        <v>34</v>
      </c>
      <c r="O8" s="6" t="s">
        <v>35</v>
      </c>
      <c r="P8" s="6" t="s">
        <v>20</v>
      </c>
    </row>
    <row r="9" spans="1:21" ht="22.5" customHeight="1" x14ac:dyDescent="0.25">
      <c r="A9" s="4">
        <v>45875.743230266206</v>
      </c>
      <c r="B9" s="5">
        <v>1315</v>
      </c>
      <c r="C9" s="5" t="s">
        <v>36</v>
      </c>
      <c r="D9" s="5" t="s">
        <v>17</v>
      </c>
      <c r="E9" s="5" t="s">
        <v>18</v>
      </c>
      <c r="F9" s="5">
        <v>4</v>
      </c>
      <c r="G9" s="5">
        <v>4</v>
      </c>
      <c r="H9" s="5">
        <v>4</v>
      </c>
      <c r="I9" s="5">
        <v>4</v>
      </c>
      <c r="J9" s="5">
        <v>4</v>
      </c>
      <c r="K9" s="5">
        <v>4</v>
      </c>
      <c r="L9" s="5">
        <v>4</v>
      </c>
      <c r="M9" s="5" t="s">
        <v>19</v>
      </c>
      <c r="N9" s="6" t="s">
        <v>37</v>
      </c>
      <c r="O9" s="6" t="s">
        <v>38</v>
      </c>
      <c r="P9" s="6" t="s">
        <v>20</v>
      </c>
    </row>
    <row r="10" spans="1:21" ht="22.5" customHeight="1" x14ac:dyDescent="0.25">
      <c r="A10" s="4">
        <v>45875.743291342587</v>
      </c>
      <c r="B10" s="5">
        <v>494</v>
      </c>
      <c r="C10" s="5" t="s">
        <v>39</v>
      </c>
      <c r="D10" s="5" t="s">
        <v>17</v>
      </c>
      <c r="E10" s="5" t="s">
        <v>18</v>
      </c>
      <c r="F10" s="5">
        <v>4</v>
      </c>
      <c r="G10" s="5">
        <v>4</v>
      </c>
      <c r="H10" s="5">
        <v>4</v>
      </c>
      <c r="I10" s="5">
        <v>3</v>
      </c>
      <c r="J10" s="5">
        <v>4</v>
      </c>
      <c r="K10" s="5">
        <v>4</v>
      </c>
      <c r="L10" s="5">
        <v>4</v>
      </c>
      <c r="M10" s="5" t="s">
        <v>19</v>
      </c>
      <c r="N10" s="6" t="s">
        <v>40</v>
      </c>
      <c r="O10" s="6" t="s">
        <v>41</v>
      </c>
      <c r="P10" s="6" t="s">
        <v>20</v>
      </c>
    </row>
    <row r="11" spans="1:21" ht="22.5" customHeight="1" x14ac:dyDescent="0.25">
      <c r="A11" s="4">
        <v>45875.743574062501</v>
      </c>
      <c r="B11" s="5">
        <v>1332</v>
      </c>
      <c r="C11" s="5" t="s">
        <v>42</v>
      </c>
      <c r="D11" s="5" t="s">
        <v>17</v>
      </c>
      <c r="E11" s="5" t="s">
        <v>18</v>
      </c>
      <c r="F11" s="5">
        <v>4</v>
      </c>
      <c r="G11" s="5">
        <v>4</v>
      </c>
      <c r="H11" s="5">
        <v>4</v>
      </c>
      <c r="I11" s="5">
        <v>4</v>
      </c>
      <c r="J11" s="5">
        <v>4</v>
      </c>
      <c r="K11" s="5">
        <v>4</v>
      </c>
      <c r="L11" s="5">
        <v>4</v>
      </c>
      <c r="M11" s="5" t="s">
        <v>19</v>
      </c>
      <c r="N11" s="6" t="s">
        <v>43</v>
      </c>
      <c r="O11" s="6" t="s">
        <v>44</v>
      </c>
      <c r="P11" s="6" t="s">
        <v>20</v>
      </c>
    </row>
    <row r="12" spans="1:21" ht="22.5" customHeight="1" x14ac:dyDescent="0.25">
      <c r="A12" s="4">
        <v>45875.743615335647</v>
      </c>
      <c r="B12" s="5">
        <v>345</v>
      </c>
      <c r="C12" s="5" t="s">
        <v>45</v>
      </c>
      <c r="D12" s="5" t="s">
        <v>17</v>
      </c>
      <c r="E12" s="5" t="s">
        <v>18</v>
      </c>
      <c r="F12" s="5">
        <v>4</v>
      </c>
      <c r="G12" s="5">
        <v>3</v>
      </c>
      <c r="H12" s="5">
        <v>4</v>
      </c>
      <c r="I12" s="5">
        <v>3</v>
      </c>
      <c r="J12" s="5">
        <v>2</v>
      </c>
      <c r="K12" s="5">
        <v>4</v>
      </c>
      <c r="L12" s="5">
        <v>4</v>
      </c>
      <c r="M12" s="5" t="s">
        <v>19</v>
      </c>
      <c r="N12" s="6" t="s">
        <v>46</v>
      </c>
      <c r="O12" s="6" t="s">
        <v>47</v>
      </c>
      <c r="P12" s="6" t="s">
        <v>20</v>
      </c>
    </row>
    <row r="13" spans="1:21" ht="22.5" customHeight="1" x14ac:dyDescent="0.25">
      <c r="A13" s="4">
        <v>45875.744614895833</v>
      </c>
      <c r="B13" s="5">
        <v>1152</v>
      </c>
      <c r="C13" s="5" t="s">
        <v>48</v>
      </c>
      <c r="D13" s="5" t="s">
        <v>17</v>
      </c>
      <c r="E13" s="5" t="s">
        <v>18</v>
      </c>
      <c r="F13" s="5">
        <v>4</v>
      </c>
      <c r="G13" s="5">
        <v>3</v>
      </c>
      <c r="H13" s="5">
        <v>4</v>
      </c>
      <c r="I13" s="5">
        <v>4</v>
      </c>
      <c r="J13" s="5">
        <v>3</v>
      </c>
      <c r="K13" s="5">
        <v>4</v>
      </c>
      <c r="L13" s="5">
        <v>4</v>
      </c>
      <c r="M13" s="5" t="s">
        <v>19</v>
      </c>
      <c r="N13" s="6"/>
      <c r="O13" s="6"/>
      <c r="P13" s="6" t="s">
        <v>20</v>
      </c>
    </row>
    <row r="14" spans="1:21" ht="22.5" customHeight="1" x14ac:dyDescent="0.25">
      <c r="A14" s="4">
        <v>45875.745910833335</v>
      </c>
      <c r="B14" s="5">
        <v>1438</v>
      </c>
      <c r="C14" s="5" t="s">
        <v>49</v>
      </c>
      <c r="D14" s="5" t="s">
        <v>17</v>
      </c>
      <c r="E14" s="5" t="s">
        <v>18</v>
      </c>
      <c r="F14" s="5">
        <v>4</v>
      </c>
      <c r="G14" s="5">
        <v>4</v>
      </c>
      <c r="H14" s="5">
        <v>4</v>
      </c>
      <c r="I14" s="5">
        <v>3</v>
      </c>
      <c r="J14" s="5">
        <v>4</v>
      </c>
      <c r="K14" s="5">
        <v>4</v>
      </c>
      <c r="L14" s="5">
        <v>4</v>
      </c>
      <c r="M14" s="5" t="s">
        <v>19</v>
      </c>
      <c r="N14" s="6" t="s">
        <v>50</v>
      </c>
      <c r="O14" s="6" t="s">
        <v>51</v>
      </c>
      <c r="P14" s="6" t="s">
        <v>20</v>
      </c>
    </row>
    <row r="15" spans="1:21" ht="22.5" hidden="1" customHeight="1" x14ac:dyDescent="0.25">
      <c r="A15" s="4">
        <v>45895.757358391202</v>
      </c>
      <c r="B15" s="5">
        <v>1120</v>
      </c>
      <c r="C15" s="5" t="s">
        <v>52</v>
      </c>
      <c r="D15" s="5" t="s">
        <v>53</v>
      </c>
      <c r="E15" s="5" t="s">
        <v>54</v>
      </c>
      <c r="F15" s="5">
        <v>3</v>
      </c>
      <c r="G15" s="5">
        <v>3</v>
      </c>
      <c r="H15" s="5">
        <v>3</v>
      </c>
      <c r="I15" s="5">
        <v>3</v>
      </c>
      <c r="J15" s="5">
        <v>2</v>
      </c>
      <c r="K15" s="5">
        <v>3</v>
      </c>
      <c r="L15" s="5">
        <v>3</v>
      </c>
      <c r="M15" s="5" t="s">
        <v>55</v>
      </c>
      <c r="N15" s="6" t="s">
        <v>56</v>
      </c>
      <c r="O15" s="6" t="s">
        <v>57</v>
      </c>
      <c r="P15" s="6" t="s">
        <v>20</v>
      </c>
    </row>
    <row r="16" spans="1:21" ht="22.5" hidden="1" customHeight="1" x14ac:dyDescent="0.25">
      <c r="A16" s="4">
        <v>45895.796877743051</v>
      </c>
      <c r="B16" s="5">
        <v>1180</v>
      </c>
      <c r="C16" s="5" t="s">
        <v>58</v>
      </c>
      <c r="D16" s="5" t="s">
        <v>53</v>
      </c>
      <c r="E16" s="5" t="s">
        <v>54</v>
      </c>
      <c r="F16" s="5">
        <v>2</v>
      </c>
      <c r="G16" s="5">
        <v>3</v>
      </c>
      <c r="H16" s="5">
        <v>3</v>
      </c>
      <c r="I16" s="5">
        <v>2</v>
      </c>
      <c r="J16" s="5">
        <v>1</v>
      </c>
      <c r="K16" s="5">
        <v>3</v>
      </c>
      <c r="L16" s="5">
        <v>3</v>
      </c>
      <c r="M16" s="5" t="s">
        <v>19</v>
      </c>
      <c r="N16" s="6"/>
      <c r="O16" s="6"/>
      <c r="P16" s="6" t="s">
        <v>20</v>
      </c>
    </row>
    <row r="17" spans="1:16" ht="22.5" hidden="1" customHeight="1" x14ac:dyDescent="0.25">
      <c r="A17" s="4">
        <v>45898.565459293983</v>
      </c>
      <c r="B17" s="5">
        <v>1343</v>
      </c>
      <c r="C17" s="5" t="s">
        <v>59</v>
      </c>
      <c r="D17" s="5" t="s">
        <v>60</v>
      </c>
      <c r="E17" s="5" t="s">
        <v>61</v>
      </c>
      <c r="F17" s="5">
        <v>4</v>
      </c>
      <c r="G17" s="5">
        <v>3</v>
      </c>
      <c r="H17" s="5">
        <v>4</v>
      </c>
      <c r="I17" s="5">
        <v>3</v>
      </c>
      <c r="J17" s="5">
        <v>3</v>
      </c>
      <c r="K17" s="5">
        <v>4</v>
      </c>
      <c r="L17" s="5">
        <v>4</v>
      </c>
      <c r="M17" s="5" t="s">
        <v>19</v>
      </c>
      <c r="N17" s="6" t="s">
        <v>62</v>
      </c>
      <c r="O17" s="6" t="s">
        <v>63</v>
      </c>
      <c r="P17" s="6" t="s">
        <v>20</v>
      </c>
    </row>
    <row r="18" spans="1:16" ht="22.5" hidden="1" customHeight="1" x14ac:dyDescent="0.25">
      <c r="A18" s="4">
        <v>45902.74537769676</v>
      </c>
      <c r="B18" s="5">
        <v>983</v>
      </c>
      <c r="C18" s="5" t="s">
        <v>64</v>
      </c>
      <c r="D18" s="5" t="s">
        <v>53</v>
      </c>
      <c r="E18" s="5" t="s">
        <v>65</v>
      </c>
      <c r="F18" s="5">
        <v>2</v>
      </c>
      <c r="G18" s="5">
        <v>3</v>
      </c>
      <c r="H18" s="5">
        <v>3</v>
      </c>
      <c r="I18" s="5">
        <v>3</v>
      </c>
      <c r="J18" s="5">
        <v>2</v>
      </c>
      <c r="K18" s="5">
        <v>2</v>
      </c>
      <c r="L18" s="5">
        <v>2</v>
      </c>
      <c r="M18" s="5" t="s">
        <v>55</v>
      </c>
      <c r="N18" s="6" t="s">
        <v>66</v>
      </c>
      <c r="O18" s="6"/>
      <c r="P18" s="6" t="s">
        <v>20</v>
      </c>
    </row>
    <row r="19" spans="1:16" ht="22.5" hidden="1" customHeight="1" x14ac:dyDescent="0.25">
      <c r="A19" s="4">
        <v>45904.461682905094</v>
      </c>
      <c r="B19" s="7" t="s">
        <v>67</v>
      </c>
      <c r="C19" s="5" t="s">
        <v>68</v>
      </c>
      <c r="D19" s="5" t="s">
        <v>69</v>
      </c>
      <c r="E19" s="5" t="s">
        <v>70</v>
      </c>
      <c r="F19" s="5">
        <v>4</v>
      </c>
      <c r="G19" s="5">
        <v>4</v>
      </c>
      <c r="H19" s="5">
        <v>4</v>
      </c>
      <c r="I19" s="5">
        <v>4</v>
      </c>
      <c r="J19" s="5">
        <v>4</v>
      </c>
      <c r="K19" s="5">
        <v>4</v>
      </c>
      <c r="L19" s="5">
        <v>4</v>
      </c>
      <c r="M19" s="5" t="s">
        <v>19</v>
      </c>
      <c r="N19" s="6"/>
      <c r="O19" s="6"/>
      <c r="P19" s="6" t="s">
        <v>20</v>
      </c>
    </row>
    <row r="20" spans="1:16" ht="22.5" hidden="1" customHeight="1" x14ac:dyDescent="0.25">
      <c r="A20" s="4">
        <v>45904.469707881944</v>
      </c>
      <c r="B20" s="5">
        <v>1430</v>
      </c>
      <c r="C20" s="5" t="s">
        <v>71</v>
      </c>
      <c r="D20" s="5" t="s">
        <v>69</v>
      </c>
      <c r="E20" s="5" t="s">
        <v>70</v>
      </c>
      <c r="F20" s="5">
        <v>3</v>
      </c>
      <c r="G20" s="5">
        <v>3</v>
      </c>
      <c r="H20" s="5">
        <v>3</v>
      </c>
      <c r="I20" s="5">
        <v>3</v>
      </c>
      <c r="J20" s="5">
        <v>2</v>
      </c>
      <c r="K20" s="5">
        <v>3</v>
      </c>
      <c r="L20" s="5">
        <v>3</v>
      </c>
      <c r="M20" s="5" t="s">
        <v>19</v>
      </c>
      <c r="N20" s="6" t="s">
        <v>72</v>
      </c>
      <c r="O20" s="6" t="s">
        <v>73</v>
      </c>
      <c r="P20" s="6" t="s">
        <v>20</v>
      </c>
    </row>
    <row r="21" spans="1:16" ht="22.5" hidden="1" customHeight="1" x14ac:dyDescent="0.25">
      <c r="A21" s="4">
        <v>45904.788811006947</v>
      </c>
      <c r="B21" s="5">
        <v>909</v>
      </c>
      <c r="C21" s="5" t="s">
        <v>74</v>
      </c>
      <c r="D21" s="5" t="s">
        <v>75</v>
      </c>
      <c r="E21" s="5" t="s">
        <v>76</v>
      </c>
      <c r="F21" s="5">
        <v>4</v>
      </c>
      <c r="G21" s="5">
        <v>3</v>
      </c>
      <c r="H21" s="5">
        <v>4</v>
      </c>
      <c r="I21" s="5">
        <v>4</v>
      </c>
      <c r="J21" s="5">
        <v>4</v>
      </c>
      <c r="K21" s="5">
        <v>4</v>
      </c>
      <c r="L21" s="5">
        <v>4</v>
      </c>
      <c r="M21" s="5" t="s">
        <v>55</v>
      </c>
      <c r="N21" s="6"/>
      <c r="O21" s="6" t="s">
        <v>77</v>
      </c>
      <c r="P21" s="6" t="s">
        <v>20</v>
      </c>
    </row>
    <row r="22" spans="1:16" ht="22.5" hidden="1" customHeight="1" x14ac:dyDescent="0.25">
      <c r="A22" s="4">
        <v>45904.788921643514</v>
      </c>
      <c r="B22" s="5">
        <v>1296</v>
      </c>
      <c r="C22" s="5" t="s">
        <v>78</v>
      </c>
      <c r="D22" s="5" t="s">
        <v>75</v>
      </c>
      <c r="E22" s="5" t="s">
        <v>76</v>
      </c>
      <c r="F22" s="5">
        <v>2</v>
      </c>
      <c r="G22" s="5">
        <v>2</v>
      </c>
      <c r="H22" s="5">
        <v>3</v>
      </c>
      <c r="I22" s="5">
        <v>3</v>
      </c>
      <c r="J22" s="5">
        <v>2</v>
      </c>
      <c r="K22" s="5">
        <v>3</v>
      </c>
      <c r="L22" s="5">
        <v>3</v>
      </c>
      <c r="M22" s="5" t="s">
        <v>19</v>
      </c>
      <c r="N22" s="6"/>
      <c r="O22" s="6"/>
      <c r="P22" s="6" t="s">
        <v>20</v>
      </c>
    </row>
    <row r="23" spans="1:16" ht="22.5" hidden="1" customHeight="1" x14ac:dyDescent="0.25">
      <c r="A23" s="4">
        <v>45904.789899675925</v>
      </c>
      <c r="B23" s="5">
        <v>1372</v>
      </c>
      <c r="C23" s="5" t="s">
        <v>79</v>
      </c>
      <c r="D23" s="5" t="s">
        <v>75</v>
      </c>
      <c r="E23" s="5" t="s">
        <v>76</v>
      </c>
      <c r="F23" s="5">
        <v>4</v>
      </c>
      <c r="G23" s="5">
        <v>4</v>
      </c>
      <c r="H23" s="5">
        <v>4</v>
      </c>
      <c r="I23" s="5">
        <v>4</v>
      </c>
      <c r="J23" s="5">
        <v>4</v>
      </c>
      <c r="K23" s="5">
        <v>4</v>
      </c>
      <c r="L23" s="5">
        <v>4</v>
      </c>
      <c r="M23" s="5" t="s">
        <v>19</v>
      </c>
      <c r="N23" s="6"/>
      <c r="O23" s="6" t="s">
        <v>80</v>
      </c>
      <c r="P23" s="6" t="s">
        <v>20</v>
      </c>
    </row>
    <row r="24" spans="1:16" ht="22.5" hidden="1" customHeight="1" x14ac:dyDescent="0.25">
      <c r="A24" s="4">
        <v>45904.789978402783</v>
      </c>
      <c r="B24" s="5">
        <v>315</v>
      </c>
      <c r="C24" s="5" t="s">
        <v>81</v>
      </c>
      <c r="D24" s="5" t="s">
        <v>75</v>
      </c>
      <c r="E24" s="5" t="s">
        <v>76</v>
      </c>
      <c r="F24" s="5">
        <v>3</v>
      </c>
      <c r="G24" s="5">
        <v>4</v>
      </c>
      <c r="H24" s="5">
        <v>3</v>
      </c>
      <c r="I24" s="5">
        <v>3</v>
      </c>
      <c r="J24" s="5">
        <v>3</v>
      </c>
      <c r="K24" s="5">
        <v>3</v>
      </c>
      <c r="L24" s="5">
        <v>4</v>
      </c>
      <c r="M24" s="5" t="s">
        <v>19</v>
      </c>
      <c r="N24" s="6" t="s">
        <v>82</v>
      </c>
      <c r="O24" s="6"/>
      <c r="P24" s="6" t="s">
        <v>20</v>
      </c>
    </row>
    <row r="25" spans="1:16" ht="22.5" hidden="1" customHeight="1" x14ac:dyDescent="0.25">
      <c r="A25" s="4">
        <v>45904.790057384263</v>
      </c>
      <c r="B25" s="5">
        <v>985</v>
      </c>
      <c r="C25" s="5" t="s">
        <v>83</v>
      </c>
      <c r="D25" s="5" t="s">
        <v>75</v>
      </c>
      <c r="E25" s="5" t="s">
        <v>76</v>
      </c>
      <c r="F25" s="5">
        <v>1</v>
      </c>
      <c r="G25" s="5">
        <v>4</v>
      </c>
      <c r="H25" s="5">
        <v>2</v>
      </c>
      <c r="I25" s="5">
        <v>2</v>
      </c>
      <c r="J25" s="5">
        <v>2</v>
      </c>
      <c r="K25" s="5">
        <v>3</v>
      </c>
      <c r="L25" s="5">
        <v>4</v>
      </c>
      <c r="M25" s="5" t="s">
        <v>19</v>
      </c>
      <c r="N25" s="6" t="s">
        <v>84</v>
      </c>
      <c r="O25" s="6" t="s">
        <v>85</v>
      </c>
      <c r="P25" s="6" t="s">
        <v>20</v>
      </c>
    </row>
    <row r="26" spans="1:16" ht="22.5" hidden="1" customHeight="1" x14ac:dyDescent="0.25">
      <c r="A26" s="4">
        <v>45904.790443680555</v>
      </c>
      <c r="B26" s="5">
        <v>1027</v>
      </c>
      <c r="C26" s="5" t="s">
        <v>86</v>
      </c>
      <c r="D26" s="5" t="s">
        <v>75</v>
      </c>
      <c r="E26" s="5" t="s">
        <v>76</v>
      </c>
      <c r="F26" s="5">
        <v>3</v>
      </c>
      <c r="G26" s="5">
        <v>3</v>
      </c>
      <c r="H26" s="5">
        <v>4</v>
      </c>
      <c r="I26" s="5">
        <v>3</v>
      </c>
      <c r="J26" s="5">
        <v>3</v>
      </c>
      <c r="K26" s="5">
        <v>3</v>
      </c>
      <c r="L26" s="5">
        <v>3</v>
      </c>
      <c r="M26" s="5" t="s">
        <v>19</v>
      </c>
      <c r="N26" s="6"/>
      <c r="O26" s="6"/>
      <c r="P26" s="6" t="s">
        <v>20</v>
      </c>
    </row>
    <row r="27" spans="1:16" ht="22.5" hidden="1" customHeight="1" x14ac:dyDescent="0.25">
      <c r="A27" s="4">
        <v>45904.790654050928</v>
      </c>
      <c r="B27" s="5">
        <v>1286</v>
      </c>
      <c r="C27" s="5" t="s">
        <v>87</v>
      </c>
      <c r="D27" s="5" t="s">
        <v>75</v>
      </c>
      <c r="E27" s="5" t="s">
        <v>76</v>
      </c>
      <c r="F27" s="5">
        <v>4</v>
      </c>
      <c r="G27" s="5">
        <v>4</v>
      </c>
      <c r="H27" s="5">
        <v>4</v>
      </c>
      <c r="I27" s="5">
        <v>4</v>
      </c>
      <c r="J27" s="5">
        <v>4</v>
      </c>
      <c r="K27" s="5">
        <v>4</v>
      </c>
      <c r="L27" s="5">
        <v>4</v>
      </c>
      <c r="M27" s="5" t="s">
        <v>19</v>
      </c>
      <c r="N27" s="6" t="s">
        <v>88</v>
      </c>
      <c r="O27" s="6" t="s">
        <v>88</v>
      </c>
      <c r="P27" s="6" t="s">
        <v>20</v>
      </c>
    </row>
    <row r="28" spans="1:16" ht="22.5" hidden="1" customHeight="1" x14ac:dyDescent="0.25">
      <c r="A28" s="4">
        <v>45904.791192152778</v>
      </c>
      <c r="B28" s="7" t="s">
        <v>89</v>
      </c>
      <c r="C28" s="5" t="s">
        <v>90</v>
      </c>
      <c r="D28" s="5" t="s">
        <v>75</v>
      </c>
      <c r="E28" s="5" t="s">
        <v>76</v>
      </c>
      <c r="F28" s="5">
        <v>3</v>
      </c>
      <c r="G28" s="5">
        <v>4</v>
      </c>
      <c r="H28" s="5">
        <v>4</v>
      </c>
      <c r="I28" s="5">
        <v>3</v>
      </c>
      <c r="J28" s="5">
        <v>4</v>
      </c>
      <c r="K28" s="5">
        <v>3</v>
      </c>
      <c r="L28" s="5">
        <v>1</v>
      </c>
      <c r="M28" s="5" t="s">
        <v>55</v>
      </c>
      <c r="N28" s="6" t="s">
        <v>91</v>
      </c>
      <c r="O28" s="6"/>
      <c r="P28" s="6" t="s">
        <v>20</v>
      </c>
    </row>
    <row r="29" spans="1:16" ht="22.5" hidden="1" customHeight="1" x14ac:dyDescent="0.25">
      <c r="A29" s="4">
        <v>45904.791786064816</v>
      </c>
      <c r="B29" s="7" t="s">
        <v>92</v>
      </c>
      <c r="C29" s="5" t="s">
        <v>93</v>
      </c>
      <c r="D29" s="5" t="s">
        <v>75</v>
      </c>
      <c r="E29" s="5" t="s">
        <v>76</v>
      </c>
      <c r="F29" s="5">
        <v>3</v>
      </c>
      <c r="G29" s="5">
        <v>3</v>
      </c>
      <c r="H29" s="5">
        <v>3</v>
      </c>
      <c r="I29" s="5">
        <v>3</v>
      </c>
      <c r="J29" s="5">
        <v>2</v>
      </c>
      <c r="K29" s="5">
        <v>3</v>
      </c>
      <c r="L29" s="5">
        <v>3</v>
      </c>
      <c r="M29" s="5" t="s">
        <v>55</v>
      </c>
      <c r="N29" s="6" t="s">
        <v>94</v>
      </c>
      <c r="O29" s="6" t="s">
        <v>95</v>
      </c>
      <c r="P29" s="6" t="s">
        <v>20</v>
      </c>
    </row>
    <row r="30" spans="1:16" ht="22.5" hidden="1" customHeight="1" x14ac:dyDescent="0.25">
      <c r="A30" s="4">
        <v>45904.792697685189</v>
      </c>
      <c r="B30" s="7" t="s">
        <v>96</v>
      </c>
      <c r="C30" s="5" t="s">
        <v>97</v>
      </c>
      <c r="D30" s="5" t="s">
        <v>75</v>
      </c>
      <c r="E30" s="5" t="s">
        <v>76</v>
      </c>
      <c r="F30" s="5">
        <v>3</v>
      </c>
      <c r="G30" s="5">
        <v>4</v>
      </c>
      <c r="H30" s="5">
        <v>2</v>
      </c>
      <c r="I30" s="5">
        <v>2</v>
      </c>
      <c r="J30" s="5">
        <v>3</v>
      </c>
      <c r="K30" s="5">
        <v>3</v>
      </c>
      <c r="L30" s="5">
        <v>3</v>
      </c>
      <c r="M30" s="5" t="s">
        <v>19</v>
      </c>
      <c r="N30" s="6" t="s">
        <v>98</v>
      </c>
      <c r="O30" s="6" t="s">
        <v>99</v>
      </c>
      <c r="P30" s="6" t="s">
        <v>20</v>
      </c>
    </row>
    <row r="31" spans="1:16" ht="22.5" hidden="1" customHeight="1" x14ac:dyDescent="0.25">
      <c r="A31" s="4">
        <v>45904.79459351852</v>
      </c>
      <c r="B31" s="5">
        <v>1029</v>
      </c>
      <c r="C31" s="5" t="s">
        <v>100</v>
      </c>
      <c r="D31" s="5" t="s">
        <v>75</v>
      </c>
      <c r="E31" s="5" t="s">
        <v>76</v>
      </c>
      <c r="F31" s="5">
        <v>2</v>
      </c>
      <c r="G31" s="5">
        <v>4</v>
      </c>
      <c r="H31" s="5">
        <v>2</v>
      </c>
      <c r="I31" s="5">
        <v>2</v>
      </c>
      <c r="J31" s="5">
        <v>1</v>
      </c>
      <c r="K31" s="5">
        <v>2</v>
      </c>
      <c r="L31" s="5">
        <v>4</v>
      </c>
      <c r="M31" s="5" t="s">
        <v>19</v>
      </c>
      <c r="N31" s="6" t="s">
        <v>101</v>
      </c>
      <c r="O31" s="6"/>
      <c r="P31" s="6" t="s">
        <v>20</v>
      </c>
    </row>
    <row r="32" spans="1:16" ht="22.5" hidden="1" customHeight="1" x14ac:dyDescent="0.25">
      <c r="A32" s="4">
        <v>45904.806776805555</v>
      </c>
      <c r="B32" s="7" t="s">
        <v>102</v>
      </c>
      <c r="C32" s="5" t="s">
        <v>103</v>
      </c>
      <c r="D32" s="5" t="s">
        <v>75</v>
      </c>
      <c r="E32" s="5" t="s">
        <v>76</v>
      </c>
      <c r="F32" s="5">
        <v>4</v>
      </c>
      <c r="G32" s="5">
        <v>3</v>
      </c>
      <c r="H32" s="5">
        <v>4</v>
      </c>
      <c r="I32" s="5">
        <v>4</v>
      </c>
      <c r="J32" s="5">
        <v>4</v>
      </c>
      <c r="K32" s="5">
        <v>3</v>
      </c>
      <c r="L32" s="5">
        <v>4</v>
      </c>
      <c r="M32" s="5" t="s">
        <v>19</v>
      </c>
      <c r="N32" s="6" t="s">
        <v>104</v>
      </c>
      <c r="O32" s="6" t="s">
        <v>105</v>
      </c>
      <c r="P32" s="6" t="s">
        <v>20</v>
      </c>
    </row>
    <row r="33" spans="1:16" ht="22.5" hidden="1" customHeight="1" x14ac:dyDescent="0.25">
      <c r="A33" s="4">
        <v>45908.372710081021</v>
      </c>
      <c r="B33" s="7" t="s">
        <v>106</v>
      </c>
      <c r="C33" s="5" t="s">
        <v>107</v>
      </c>
      <c r="D33" s="5" t="s">
        <v>60</v>
      </c>
      <c r="E33" s="5" t="s">
        <v>108</v>
      </c>
      <c r="F33" s="5">
        <v>3</v>
      </c>
      <c r="G33" s="5">
        <v>2</v>
      </c>
      <c r="H33" s="5">
        <v>3</v>
      </c>
      <c r="I33" s="5">
        <v>2</v>
      </c>
      <c r="J33" s="5">
        <v>2</v>
      </c>
      <c r="K33" s="5">
        <v>2</v>
      </c>
      <c r="L33" s="5">
        <v>1</v>
      </c>
      <c r="M33" s="5" t="s">
        <v>55</v>
      </c>
      <c r="N33" s="5" t="s">
        <v>109</v>
      </c>
      <c r="P33" s="6" t="s">
        <v>20</v>
      </c>
    </row>
    <row r="34" spans="1:16" ht="22.5" hidden="1" customHeight="1" x14ac:dyDescent="0.25">
      <c r="A34" s="4">
        <v>45911.559174641203</v>
      </c>
      <c r="B34" s="5">
        <v>737</v>
      </c>
      <c r="C34" s="5" t="s">
        <v>110</v>
      </c>
      <c r="D34" s="5" t="s">
        <v>111</v>
      </c>
      <c r="E34" s="5" t="s">
        <v>70</v>
      </c>
      <c r="F34" s="5">
        <v>4</v>
      </c>
      <c r="G34" s="5">
        <v>4</v>
      </c>
      <c r="H34" s="5">
        <v>4</v>
      </c>
      <c r="I34" s="5">
        <v>4</v>
      </c>
      <c r="J34" s="5">
        <v>4</v>
      </c>
      <c r="K34" s="5">
        <v>4</v>
      </c>
      <c r="L34" s="5">
        <v>4</v>
      </c>
      <c r="M34" s="5" t="s">
        <v>19</v>
      </c>
      <c r="N34" s="5" t="s">
        <v>112</v>
      </c>
      <c r="O34" s="5" t="s">
        <v>113</v>
      </c>
      <c r="P34" s="6" t="s">
        <v>20</v>
      </c>
    </row>
    <row r="35" spans="1:16" ht="22.5" hidden="1" customHeight="1" x14ac:dyDescent="0.25">
      <c r="A35" s="4">
        <v>45911.570096539348</v>
      </c>
      <c r="B35" s="5">
        <v>1433</v>
      </c>
      <c r="C35" s="5" t="s">
        <v>114</v>
      </c>
      <c r="D35" s="5" t="s">
        <v>111</v>
      </c>
      <c r="E35" s="5" t="s">
        <v>70</v>
      </c>
      <c r="F35" s="5">
        <v>3</v>
      </c>
      <c r="G35" s="5">
        <v>4</v>
      </c>
      <c r="H35" s="5">
        <v>4</v>
      </c>
      <c r="I35" s="5">
        <v>4</v>
      </c>
      <c r="J35" s="5">
        <v>3</v>
      </c>
      <c r="K35" s="5">
        <v>3</v>
      </c>
      <c r="L35" s="5">
        <v>4</v>
      </c>
      <c r="M35" s="5" t="s">
        <v>19</v>
      </c>
      <c r="P35" s="6" t="s">
        <v>20</v>
      </c>
    </row>
    <row r="36" spans="1:16" ht="22.5" hidden="1" customHeight="1" x14ac:dyDescent="0.25">
      <c r="A36" s="4">
        <v>45911.719396736109</v>
      </c>
      <c r="B36" s="5">
        <v>1172</v>
      </c>
      <c r="C36" s="5" t="s">
        <v>115</v>
      </c>
      <c r="D36" s="5" t="s">
        <v>69</v>
      </c>
      <c r="E36" s="5" t="s">
        <v>70</v>
      </c>
      <c r="F36" s="5">
        <v>3</v>
      </c>
      <c r="G36" s="5">
        <v>4</v>
      </c>
      <c r="H36" s="5">
        <v>4</v>
      </c>
      <c r="I36" s="5">
        <v>3</v>
      </c>
      <c r="J36" s="5">
        <v>3</v>
      </c>
      <c r="K36" s="5">
        <v>4</v>
      </c>
      <c r="L36" s="5">
        <v>4</v>
      </c>
      <c r="M36" s="5" t="s">
        <v>19</v>
      </c>
      <c r="P36" s="6" t="s">
        <v>20</v>
      </c>
    </row>
    <row r="37" spans="1:16" ht="22.5" hidden="1" customHeight="1" x14ac:dyDescent="0.25">
      <c r="A37" s="4">
        <v>45912.638316516204</v>
      </c>
      <c r="B37" s="5">
        <v>1307</v>
      </c>
      <c r="C37" s="5" t="s">
        <v>116</v>
      </c>
      <c r="D37" s="5" t="s">
        <v>117</v>
      </c>
      <c r="E37" s="5" t="s">
        <v>118</v>
      </c>
      <c r="F37" s="5">
        <v>4</v>
      </c>
      <c r="G37" s="5">
        <v>4</v>
      </c>
      <c r="H37" s="5">
        <v>3</v>
      </c>
      <c r="I37" s="5">
        <v>3</v>
      </c>
      <c r="J37" s="5">
        <v>3</v>
      </c>
      <c r="K37" s="5">
        <v>3</v>
      </c>
      <c r="L37" s="5">
        <v>3</v>
      </c>
      <c r="M37" s="5" t="s">
        <v>19</v>
      </c>
      <c r="P37" s="6" t="s">
        <v>20</v>
      </c>
    </row>
    <row r="38" spans="1:16" ht="22.5" hidden="1" customHeight="1" x14ac:dyDescent="0.25">
      <c r="A38" s="4">
        <v>45912.659924988431</v>
      </c>
      <c r="B38" s="7" t="s">
        <v>119</v>
      </c>
      <c r="C38" s="5" t="s">
        <v>120</v>
      </c>
      <c r="D38" s="5" t="s">
        <v>117</v>
      </c>
      <c r="E38" s="5" t="s">
        <v>118</v>
      </c>
      <c r="F38" s="5">
        <v>4</v>
      </c>
      <c r="G38" s="5">
        <v>4</v>
      </c>
      <c r="H38" s="5">
        <v>4</v>
      </c>
      <c r="I38" s="5">
        <v>3</v>
      </c>
      <c r="J38" s="5">
        <v>4</v>
      </c>
      <c r="K38" s="5">
        <v>4</v>
      </c>
      <c r="L38" s="5">
        <v>4</v>
      </c>
      <c r="M38" s="5" t="s">
        <v>19</v>
      </c>
      <c r="N38" s="5" t="s">
        <v>121</v>
      </c>
      <c r="O38" s="5" t="s">
        <v>122</v>
      </c>
      <c r="P38" s="6" t="s">
        <v>20</v>
      </c>
    </row>
    <row r="39" spans="1:16" ht="22.5" customHeight="1" x14ac:dyDescent="0.25">
      <c r="A39" s="4">
        <v>45912.738908900465</v>
      </c>
      <c r="B39" s="5">
        <v>150</v>
      </c>
      <c r="C39" s="5" t="s">
        <v>123</v>
      </c>
      <c r="D39" s="5" t="s">
        <v>17</v>
      </c>
      <c r="E39" s="5" t="s">
        <v>18</v>
      </c>
      <c r="F39" s="5">
        <v>4</v>
      </c>
      <c r="G39" s="5">
        <v>4</v>
      </c>
      <c r="H39" s="5">
        <v>4</v>
      </c>
      <c r="I39" s="5">
        <v>4</v>
      </c>
      <c r="J39" s="5">
        <v>4</v>
      </c>
      <c r="K39" s="5">
        <v>4</v>
      </c>
      <c r="L39" s="5">
        <v>4</v>
      </c>
      <c r="M39" s="5" t="s">
        <v>19</v>
      </c>
      <c r="P39" s="6" t="s">
        <v>20</v>
      </c>
    </row>
    <row r="40" spans="1:16" ht="22.5" customHeight="1" x14ac:dyDescent="0.25">
      <c r="A40" s="4">
        <v>45912.738950601852</v>
      </c>
      <c r="B40" s="5">
        <v>742</v>
      </c>
      <c r="C40" s="5" t="s">
        <v>124</v>
      </c>
      <c r="D40" s="5" t="s">
        <v>17</v>
      </c>
      <c r="E40" s="5" t="s">
        <v>18</v>
      </c>
      <c r="F40" s="5">
        <v>4</v>
      </c>
      <c r="G40" s="5">
        <v>4</v>
      </c>
      <c r="H40" s="5">
        <v>4</v>
      </c>
      <c r="I40" s="5">
        <v>4</v>
      </c>
      <c r="J40" s="5">
        <v>4</v>
      </c>
      <c r="K40" s="5">
        <v>4</v>
      </c>
      <c r="L40" s="5">
        <v>4</v>
      </c>
      <c r="M40" s="5" t="s">
        <v>19</v>
      </c>
      <c r="P40" s="6" t="s">
        <v>20</v>
      </c>
    </row>
    <row r="41" spans="1:16" ht="22.5" customHeight="1" x14ac:dyDescent="0.25">
      <c r="A41" s="4">
        <v>45912.739104675929</v>
      </c>
      <c r="B41" s="5">
        <v>790</v>
      </c>
      <c r="C41" s="5" t="s">
        <v>125</v>
      </c>
      <c r="D41" s="5" t="s">
        <v>17</v>
      </c>
      <c r="E41" s="5" t="s">
        <v>18</v>
      </c>
      <c r="F41" s="5">
        <v>4</v>
      </c>
      <c r="G41" s="5">
        <v>4</v>
      </c>
      <c r="H41" s="5">
        <v>4</v>
      </c>
      <c r="I41" s="5">
        <v>4</v>
      </c>
      <c r="J41" s="5">
        <v>4</v>
      </c>
      <c r="K41" s="5">
        <v>4</v>
      </c>
      <c r="L41" s="5">
        <v>4</v>
      </c>
      <c r="M41" s="5" t="s">
        <v>19</v>
      </c>
      <c r="P41" s="6" t="s">
        <v>20</v>
      </c>
    </row>
    <row r="42" spans="1:16" ht="22.5" customHeight="1" x14ac:dyDescent="0.25">
      <c r="A42" s="4">
        <v>45912.73918394676</v>
      </c>
      <c r="B42" s="5">
        <v>1364</v>
      </c>
      <c r="C42" s="5" t="s">
        <v>126</v>
      </c>
      <c r="D42" s="5" t="s">
        <v>17</v>
      </c>
      <c r="E42" s="5" t="s">
        <v>18</v>
      </c>
      <c r="F42" s="5">
        <v>4</v>
      </c>
      <c r="G42" s="5">
        <v>3</v>
      </c>
      <c r="H42" s="5">
        <v>4</v>
      </c>
      <c r="I42" s="5">
        <v>4</v>
      </c>
      <c r="J42" s="5">
        <v>3</v>
      </c>
      <c r="K42" s="5">
        <v>4</v>
      </c>
      <c r="L42" s="5">
        <v>4</v>
      </c>
      <c r="M42" s="5" t="s">
        <v>19</v>
      </c>
      <c r="P42" s="6" t="s">
        <v>20</v>
      </c>
    </row>
    <row r="43" spans="1:16" ht="22.5" customHeight="1" x14ac:dyDescent="0.25">
      <c r="A43" s="4">
        <v>45912.739283043979</v>
      </c>
      <c r="B43" s="5">
        <v>1306</v>
      </c>
      <c r="C43" s="5" t="s">
        <v>127</v>
      </c>
      <c r="D43" s="5" t="s">
        <v>17</v>
      </c>
      <c r="E43" s="5" t="s">
        <v>18</v>
      </c>
      <c r="F43" s="5">
        <v>4</v>
      </c>
      <c r="G43" s="5">
        <v>4</v>
      </c>
      <c r="H43" s="5">
        <v>4</v>
      </c>
      <c r="I43" s="5">
        <v>2</v>
      </c>
      <c r="J43" s="5">
        <v>3</v>
      </c>
      <c r="K43" s="5">
        <v>4</v>
      </c>
      <c r="L43" s="5">
        <v>4</v>
      </c>
      <c r="M43" s="5" t="s">
        <v>19</v>
      </c>
      <c r="N43" s="5" t="s">
        <v>128</v>
      </c>
      <c r="P43" s="6" t="s">
        <v>20</v>
      </c>
    </row>
    <row r="44" spans="1:16" ht="22.5" customHeight="1" x14ac:dyDescent="0.25">
      <c r="A44" s="4">
        <v>45912.739412152776</v>
      </c>
      <c r="B44" s="5">
        <v>952</v>
      </c>
      <c r="C44" s="5" t="s">
        <v>129</v>
      </c>
      <c r="D44" s="5" t="s">
        <v>17</v>
      </c>
      <c r="E44" s="5" t="s">
        <v>18</v>
      </c>
      <c r="F44" s="5">
        <v>4</v>
      </c>
      <c r="G44" s="5">
        <v>3</v>
      </c>
      <c r="H44" s="5">
        <v>4</v>
      </c>
      <c r="I44" s="5">
        <v>4</v>
      </c>
      <c r="J44" s="5">
        <v>4</v>
      </c>
      <c r="K44" s="5">
        <v>4</v>
      </c>
      <c r="L44" s="5">
        <v>4</v>
      </c>
      <c r="M44" s="5" t="s">
        <v>19</v>
      </c>
      <c r="N44" s="5" t="s">
        <v>130</v>
      </c>
      <c r="O44" s="5" t="s">
        <v>131</v>
      </c>
      <c r="P44" s="6" t="s">
        <v>20</v>
      </c>
    </row>
    <row r="45" spans="1:16" ht="22.5" customHeight="1" x14ac:dyDescent="0.25">
      <c r="A45" s="4">
        <v>45912.73944524306</v>
      </c>
      <c r="B45" s="5">
        <v>1328</v>
      </c>
      <c r="C45" s="5" t="s">
        <v>132</v>
      </c>
      <c r="D45" s="5" t="s">
        <v>17</v>
      </c>
      <c r="E45" s="5" t="s">
        <v>18</v>
      </c>
      <c r="F45" s="5">
        <v>4</v>
      </c>
      <c r="G45" s="5">
        <v>4</v>
      </c>
      <c r="H45" s="5">
        <v>4</v>
      </c>
      <c r="I45" s="5">
        <v>3</v>
      </c>
      <c r="J45" s="5">
        <v>3</v>
      </c>
      <c r="K45" s="5">
        <v>4</v>
      </c>
      <c r="L45" s="5">
        <v>4</v>
      </c>
      <c r="M45" s="5" t="s">
        <v>19</v>
      </c>
      <c r="P45" s="6" t="s">
        <v>20</v>
      </c>
    </row>
    <row r="46" spans="1:16" ht="22.5" customHeight="1" x14ac:dyDescent="0.25">
      <c r="A46" s="4">
        <v>45912.739532060186</v>
      </c>
      <c r="B46" s="5">
        <v>864</v>
      </c>
      <c r="C46" s="5" t="s">
        <v>133</v>
      </c>
      <c r="D46" s="5" t="s">
        <v>17</v>
      </c>
      <c r="E46" s="5" t="s">
        <v>18</v>
      </c>
      <c r="F46" s="5">
        <v>3</v>
      </c>
      <c r="G46" s="5">
        <v>4</v>
      </c>
      <c r="H46" s="5">
        <v>4</v>
      </c>
      <c r="I46" s="5">
        <v>4</v>
      </c>
      <c r="J46" s="5">
        <v>3</v>
      </c>
      <c r="K46" s="5">
        <v>3</v>
      </c>
      <c r="L46" s="5">
        <v>4</v>
      </c>
      <c r="M46" s="5" t="s">
        <v>19</v>
      </c>
      <c r="N46" s="5" t="s">
        <v>134</v>
      </c>
      <c r="P46" s="6" t="s">
        <v>20</v>
      </c>
    </row>
    <row r="47" spans="1:16" ht="22.5" customHeight="1" x14ac:dyDescent="0.25">
      <c r="A47" s="4">
        <v>45912.739539895832</v>
      </c>
      <c r="B47" s="5">
        <v>1178</v>
      </c>
      <c r="C47" s="5" t="s">
        <v>135</v>
      </c>
      <c r="D47" s="5" t="s">
        <v>17</v>
      </c>
      <c r="E47" s="5" t="s">
        <v>18</v>
      </c>
      <c r="F47" s="5">
        <v>4</v>
      </c>
      <c r="G47" s="5">
        <v>4</v>
      </c>
      <c r="H47" s="5">
        <v>4</v>
      </c>
      <c r="I47" s="5">
        <v>4</v>
      </c>
      <c r="J47" s="5">
        <v>4</v>
      </c>
      <c r="K47" s="5">
        <v>4</v>
      </c>
      <c r="L47" s="5">
        <v>4</v>
      </c>
      <c r="M47" s="5" t="s">
        <v>19</v>
      </c>
      <c r="N47" s="5" t="s">
        <v>136</v>
      </c>
      <c r="O47" s="5" t="s">
        <v>137</v>
      </c>
      <c r="P47" s="6" t="s">
        <v>20</v>
      </c>
    </row>
    <row r="48" spans="1:16" ht="22.5" customHeight="1" x14ac:dyDescent="0.25">
      <c r="A48" s="4">
        <v>45912.739705266205</v>
      </c>
      <c r="B48" s="7" t="s">
        <v>138</v>
      </c>
      <c r="C48" s="5" t="s">
        <v>139</v>
      </c>
      <c r="D48" s="5" t="s">
        <v>17</v>
      </c>
      <c r="E48" s="5" t="s">
        <v>18</v>
      </c>
      <c r="F48" s="5">
        <v>4</v>
      </c>
      <c r="G48" s="5">
        <v>4</v>
      </c>
      <c r="H48" s="5">
        <v>4</v>
      </c>
      <c r="I48" s="5">
        <v>4</v>
      </c>
      <c r="J48" s="5">
        <v>4</v>
      </c>
      <c r="K48" s="5">
        <v>4</v>
      </c>
      <c r="L48" s="5">
        <v>4</v>
      </c>
      <c r="M48" s="5" t="s">
        <v>19</v>
      </c>
      <c r="P48" s="6" t="s">
        <v>20</v>
      </c>
    </row>
    <row r="49" spans="1:16" ht="22.5" customHeight="1" x14ac:dyDescent="0.25">
      <c r="A49" s="4">
        <v>45912.739759155098</v>
      </c>
      <c r="B49" s="5">
        <v>700793</v>
      </c>
      <c r="C49" s="5" t="s">
        <v>140</v>
      </c>
      <c r="D49" s="5" t="s">
        <v>17</v>
      </c>
      <c r="E49" s="5" t="s">
        <v>18</v>
      </c>
      <c r="F49" s="5">
        <v>4</v>
      </c>
      <c r="G49" s="5">
        <v>4</v>
      </c>
      <c r="H49" s="5">
        <v>4</v>
      </c>
      <c r="I49" s="5">
        <v>4</v>
      </c>
      <c r="J49" s="5">
        <v>4</v>
      </c>
      <c r="K49" s="5">
        <v>4</v>
      </c>
      <c r="L49" s="5">
        <v>4</v>
      </c>
      <c r="M49" s="5" t="s">
        <v>19</v>
      </c>
      <c r="P49" s="6" t="s">
        <v>20</v>
      </c>
    </row>
    <row r="50" spans="1:16" ht="22.5" customHeight="1" x14ac:dyDescent="0.25">
      <c r="A50" s="4">
        <v>45912.73991837963</v>
      </c>
      <c r="B50" s="5">
        <v>935</v>
      </c>
      <c r="C50" s="5" t="s">
        <v>141</v>
      </c>
      <c r="D50" s="5" t="s">
        <v>17</v>
      </c>
      <c r="E50" s="5" t="s">
        <v>18</v>
      </c>
      <c r="F50" s="5">
        <v>4</v>
      </c>
      <c r="G50" s="5">
        <v>4</v>
      </c>
      <c r="H50" s="5">
        <v>4</v>
      </c>
      <c r="I50" s="5">
        <v>4</v>
      </c>
      <c r="J50" s="5">
        <v>4</v>
      </c>
      <c r="K50" s="5">
        <v>4</v>
      </c>
      <c r="L50" s="5">
        <v>4</v>
      </c>
      <c r="M50" s="5" t="s">
        <v>19</v>
      </c>
      <c r="N50" s="5" t="s">
        <v>142</v>
      </c>
      <c r="P50" s="6" t="s">
        <v>20</v>
      </c>
    </row>
    <row r="51" spans="1:16" ht="22.5" customHeight="1" x14ac:dyDescent="0.25">
      <c r="A51" s="4">
        <v>45912.741555069442</v>
      </c>
      <c r="B51" s="5">
        <v>535</v>
      </c>
      <c r="C51" s="5" t="s">
        <v>143</v>
      </c>
      <c r="D51" s="5" t="s">
        <v>17</v>
      </c>
      <c r="E51" s="5" t="s">
        <v>18</v>
      </c>
      <c r="F51" s="5">
        <v>4</v>
      </c>
      <c r="G51" s="5">
        <v>3</v>
      </c>
      <c r="H51" s="5">
        <v>3</v>
      </c>
      <c r="I51" s="5">
        <v>3</v>
      </c>
      <c r="J51" s="5">
        <v>3</v>
      </c>
      <c r="K51" s="5">
        <v>3</v>
      </c>
      <c r="L51" s="5">
        <v>4</v>
      </c>
      <c r="M51" s="5" t="s">
        <v>19</v>
      </c>
      <c r="N51" s="5" t="s">
        <v>144</v>
      </c>
      <c r="O51" s="5" t="s">
        <v>145</v>
      </c>
      <c r="P51" s="6" t="s">
        <v>20</v>
      </c>
    </row>
    <row r="52" spans="1:16" ht="22.5" hidden="1" customHeight="1" x14ac:dyDescent="0.25">
      <c r="A52" s="4">
        <v>45912.761377569448</v>
      </c>
      <c r="B52" s="7" t="s">
        <v>146</v>
      </c>
      <c r="C52" s="5" t="s">
        <v>147</v>
      </c>
      <c r="D52" s="5" t="s">
        <v>148</v>
      </c>
      <c r="E52" s="5" t="s">
        <v>118</v>
      </c>
      <c r="F52" s="5">
        <v>3</v>
      </c>
      <c r="G52" s="5">
        <v>3</v>
      </c>
      <c r="H52" s="5">
        <v>3</v>
      </c>
      <c r="I52" s="5">
        <v>2</v>
      </c>
      <c r="J52" s="5">
        <v>2</v>
      </c>
      <c r="K52" s="5">
        <v>3</v>
      </c>
      <c r="L52" s="5">
        <v>4</v>
      </c>
      <c r="M52" s="5" t="s">
        <v>55</v>
      </c>
      <c r="N52" s="5" t="s">
        <v>149</v>
      </c>
      <c r="P52" s="6" t="s">
        <v>20</v>
      </c>
    </row>
    <row r="53" spans="1:16" ht="22.5" customHeight="1" x14ac:dyDescent="0.25">
      <c r="A53" s="4">
        <v>45912.775011817124</v>
      </c>
      <c r="B53" s="7" t="s">
        <v>102</v>
      </c>
      <c r="C53" s="5" t="s">
        <v>103</v>
      </c>
      <c r="D53" s="5" t="s">
        <v>17</v>
      </c>
      <c r="E53" s="5" t="s">
        <v>18</v>
      </c>
      <c r="F53" s="5">
        <v>4</v>
      </c>
      <c r="G53" s="5">
        <v>4</v>
      </c>
      <c r="H53" s="5">
        <v>4</v>
      </c>
      <c r="I53" s="5">
        <v>4</v>
      </c>
      <c r="J53" s="5">
        <v>4</v>
      </c>
      <c r="K53" s="5">
        <v>4</v>
      </c>
      <c r="L53" s="5">
        <v>4</v>
      </c>
      <c r="M53" s="5" t="s">
        <v>19</v>
      </c>
      <c r="N53" s="5" t="s">
        <v>150</v>
      </c>
      <c r="O53" s="5" t="s">
        <v>151</v>
      </c>
      <c r="P53" s="6" t="s">
        <v>20</v>
      </c>
    </row>
    <row r="54" spans="1:16" ht="22.5" hidden="1" customHeight="1" x14ac:dyDescent="0.25">
      <c r="A54" s="4">
        <v>45912.813139814811</v>
      </c>
      <c r="B54" s="5">
        <v>804</v>
      </c>
      <c r="C54" s="5" t="s">
        <v>152</v>
      </c>
      <c r="D54" s="5" t="s">
        <v>148</v>
      </c>
      <c r="E54" s="5" t="s">
        <v>118</v>
      </c>
      <c r="F54" s="5">
        <v>3</v>
      </c>
      <c r="G54" s="5">
        <v>2</v>
      </c>
      <c r="H54" s="5">
        <v>3</v>
      </c>
      <c r="I54" s="5">
        <v>2</v>
      </c>
      <c r="J54" s="5">
        <v>2</v>
      </c>
      <c r="K54" s="5">
        <v>4</v>
      </c>
      <c r="L54" s="5">
        <v>4</v>
      </c>
      <c r="M54" s="5" t="s">
        <v>55</v>
      </c>
      <c r="N54" s="5" t="s">
        <v>153</v>
      </c>
      <c r="O54" s="5" t="s">
        <v>154</v>
      </c>
      <c r="P54" s="6" t="s">
        <v>20</v>
      </c>
    </row>
    <row r="55" spans="1:16" ht="22.5" hidden="1" customHeight="1" x14ac:dyDescent="0.25">
      <c r="A55" s="4">
        <v>45917.412599050927</v>
      </c>
      <c r="B55" s="5">
        <v>974</v>
      </c>
      <c r="C55" s="5" t="s">
        <v>155</v>
      </c>
      <c r="D55" s="5" t="s">
        <v>148</v>
      </c>
      <c r="E55" s="5" t="s">
        <v>118</v>
      </c>
      <c r="F55" s="5">
        <v>3</v>
      </c>
      <c r="G55" s="5">
        <v>2</v>
      </c>
      <c r="H55" s="5">
        <v>2</v>
      </c>
      <c r="I55" s="5">
        <v>1</v>
      </c>
      <c r="J55" s="5">
        <v>1</v>
      </c>
      <c r="K55" s="5">
        <v>2</v>
      </c>
      <c r="L55" s="5">
        <v>3</v>
      </c>
      <c r="M55" s="5" t="s">
        <v>55</v>
      </c>
      <c r="N55" s="5" t="s">
        <v>156</v>
      </c>
      <c r="O55" s="5" t="s">
        <v>157</v>
      </c>
      <c r="P55" s="6" t="s">
        <v>20</v>
      </c>
    </row>
    <row r="56" spans="1:16" ht="22.5" hidden="1" customHeight="1" x14ac:dyDescent="0.25">
      <c r="A56" s="4">
        <v>45919.416432916667</v>
      </c>
      <c r="B56" s="7" t="s">
        <v>96</v>
      </c>
      <c r="C56" s="5" t="s">
        <v>158</v>
      </c>
      <c r="D56" s="5" t="s">
        <v>159</v>
      </c>
      <c r="E56" s="5" t="s">
        <v>160</v>
      </c>
      <c r="F56" s="5">
        <v>2</v>
      </c>
      <c r="G56" s="5">
        <v>4</v>
      </c>
      <c r="H56" s="5">
        <v>1</v>
      </c>
      <c r="I56" s="5">
        <v>3</v>
      </c>
      <c r="J56" s="5">
        <v>3</v>
      </c>
      <c r="K56" s="5">
        <v>1</v>
      </c>
      <c r="L56" s="5">
        <v>2</v>
      </c>
      <c r="M56" s="5" t="s">
        <v>19</v>
      </c>
      <c r="N56" s="5" t="s">
        <v>161</v>
      </c>
      <c r="O56" s="5" t="s">
        <v>162</v>
      </c>
      <c r="P56" s="6" t="s">
        <v>20</v>
      </c>
    </row>
    <row r="57" spans="1:16" ht="22.5" hidden="1" customHeight="1" x14ac:dyDescent="0.25">
      <c r="A57" s="4">
        <v>45919.429908784718</v>
      </c>
      <c r="B57" s="5">
        <v>1328</v>
      </c>
      <c r="C57" s="5" t="s">
        <v>163</v>
      </c>
      <c r="D57" s="5" t="s">
        <v>164</v>
      </c>
      <c r="E57" s="5" t="s">
        <v>160</v>
      </c>
      <c r="F57" s="5">
        <v>3</v>
      </c>
      <c r="G57" s="5">
        <v>3</v>
      </c>
      <c r="H57" s="5">
        <v>4</v>
      </c>
      <c r="I57" s="5">
        <v>4</v>
      </c>
      <c r="J57" s="5">
        <v>4</v>
      </c>
      <c r="K57" s="5">
        <v>4</v>
      </c>
      <c r="L57" s="5">
        <v>4</v>
      </c>
      <c r="M57" s="5" t="s">
        <v>19</v>
      </c>
      <c r="N57" s="5" t="s">
        <v>165</v>
      </c>
      <c r="O57" s="5" t="s">
        <v>166</v>
      </c>
      <c r="P57" s="6" t="s">
        <v>20</v>
      </c>
    </row>
    <row r="58" spans="1:16" ht="22.5" hidden="1" customHeight="1" x14ac:dyDescent="0.25">
      <c r="A58" s="4">
        <v>45922.492284108797</v>
      </c>
      <c r="B58" s="5">
        <v>724</v>
      </c>
      <c r="C58" s="5" t="s">
        <v>167</v>
      </c>
      <c r="D58" s="5" t="s">
        <v>168</v>
      </c>
      <c r="E58" s="5" t="s">
        <v>169</v>
      </c>
      <c r="F58" s="5">
        <v>4</v>
      </c>
      <c r="G58" s="5">
        <v>4</v>
      </c>
      <c r="H58" s="5">
        <v>4</v>
      </c>
      <c r="I58" s="5">
        <v>4</v>
      </c>
      <c r="J58" s="5">
        <v>4</v>
      </c>
      <c r="K58" s="5">
        <v>4</v>
      </c>
      <c r="L58" s="5">
        <v>4</v>
      </c>
      <c r="M58" s="5" t="s">
        <v>19</v>
      </c>
      <c r="N58" s="5" t="s">
        <v>170</v>
      </c>
      <c r="O58" s="5" t="s">
        <v>171</v>
      </c>
      <c r="P58" s="6" t="s">
        <v>20</v>
      </c>
    </row>
    <row r="59" spans="1:16" ht="22.5" hidden="1" customHeight="1" x14ac:dyDescent="0.25">
      <c r="A59" s="4">
        <v>45922.635550752311</v>
      </c>
      <c r="B59" s="5">
        <v>1350</v>
      </c>
      <c r="C59" s="5" t="s">
        <v>172</v>
      </c>
      <c r="D59" s="5" t="s">
        <v>173</v>
      </c>
      <c r="E59" s="5" t="s">
        <v>169</v>
      </c>
      <c r="F59" s="5">
        <v>4</v>
      </c>
      <c r="G59" s="5">
        <v>3</v>
      </c>
      <c r="H59" s="5">
        <v>4</v>
      </c>
      <c r="I59" s="5">
        <v>4</v>
      </c>
      <c r="J59" s="5">
        <v>3</v>
      </c>
      <c r="K59" s="5">
        <v>4</v>
      </c>
      <c r="L59" s="5">
        <v>4</v>
      </c>
      <c r="M59" s="5" t="s">
        <v>19</v>
      </c>
      <c r="N59" s="5" t="s">
        <v>174</v>
      </c>
      <c r="O59" s="5" t="s">
        <v>175</v>
      </c>
      <c r="P59" s="6" t="s">
        <v>20</v>
      </c>
    </row>
    <row r="60" spans="1:16" ht="22.5" hidden="1" customHeight="1" x14ac:dyDescent="0.25">
      <c r="A60" s="4">
        <v>45924.491365335649</v>
      </c>
      <c r="B60" s="7" t="s">
        <v>176</v>
      </c>
      <c r="C60" s="5" t="s">
        <v>177</v>
      </c>
      <c r="D60" s="5" t="s">
        <v>60</v>
      </c>
      <c r="E60" s="5" t="s">
        <v>108</v>
      </c>
      <c r="F60" s="5">
        <v>4</v>
      </c>
      <c r="G60" s="5">
        <v>4</v>
      </c>
      <c r="H60" s="5">
        <v>4</v>
      </c>
      <c r="I60" s="5">
        <v>4</v>
      </c>
      <c r="J60" s="5">
        <v>4</v>
      </c>
      <c r="K60" s="5">
        <v>4</v>
      </c>
      <c r="L60" s="5">
        <v>4</v>
      </c>
      <c r="M60" s="5" t="s">
        <v>19</v>
      </c>
      <c r="N60" s="5" t="s">
        <v>178</v>
      </c>
      <c r="O60" s="5" t="s">
        <v>179</v>
      </c>
      <c r="P60" s="6" t="s">
        <v>20</v>
      </c>
    </row>
    <row r="61" spans="1:16" ht="22.5" hidden="1" customHeight="1" x14ac:dyDescent="0.25">
      <c r="A61" s="4">
        <v>45924.712445046302</v>
      </c>
      <c r="B61" s="5">
        <v>561</v>
      </c>
      <c r="C61" s="5" t="s">
        <v>180</v>
      </c>
      <c r="D61" s="5" t="s">
        <v>53</v>
      </c>
      <c r="E61" s="5" t="s">
        <v>65</v>
      </c>
      <c r="F61" s="5">
        <v>3</v>
      </c>
      <c r="G61" s="5">
        <v>3</v>
      </c>
      <c r="H61" s="5">
        <v>3</v>
      </c>
      <c r="I61" s="5">
        <v>3</v>
      </c>
      <c r="J61" s="5">
        <v>3</v>
      </c>
      <c r="K61" s="5">
        <v>3</v>
      </c>
      <c r="L61" s="5">
        <v>3</v>
      </c>
      <c r="M61" s="5" t="s">
        <v>19</v>
      </c>
      <c r="N61" s="5" t="s">
        <v>181</v>
      </c>
      <c r="O61" s="5" t="s">
        <v>170</v>
      </c>
      <c r="P61" s="6" t="s">
        <v>20</v>
      </c>
    </row>
    <row r="62" spans="1:16" ht="22.5" hidden="1" customHeight="1" x14ac:dyDescent="0.25">
      <c r="A62" s="4">
        <v>45924.756638101855</v>
      </c>
      <c r="B62" s="5">
        <v>1190</v>
      </c>
      <c r="C62" s="5" t="s">
        <v>182</v>
      </c>
      <c r="D62" s="5" t="s">
        <v>53</v>
      </c>
      <c r="E62" s="5" t="s">
        <v>65</v>
      </c>
      <c r="F62" s="5">
        <v>4</v>
      </c>
      <c r="G62" s="5">
        <v>4</v>
      </c>
      <c r="H62" s="5">
        <v>4</v>
      </c>
      <c r="I62" s="5">
        <v>4</v>
      </c>
      <c r="J62" s="5">
        <v>3</v>
      </c>
      <c r="K62" s="5">
        <v>4</v>
      </c>
      <c r="L62" s="5">
        <v>4</v>
      </c>
      <c r="M62" s="5" t="s">
        <v>19</v>
      </c>
      <c r="N62" s="5" t="s">
        <v>183</v>
      </c>
      <c r="O62" s="5" t="s">
        <v>184</v>
      </c>
      <c r="P62" s="6" t="s">
        <v>20</v>
      </c>
    </row>
    <row r="63" spans="1:16" ht="22.5" hidden="1" customHeight="1" x14ac:dyDescent="0.25">
      <c r="A63" s="4">
        <v>45925.656493854171</v>
      </c>
      <c r="B63" s="5">
        <v>1366</v>
      </c>
      <c r="C63" s="5" t="s">
        <v>185</v>
      </c>
      <c r="D63" s="5" t="s">
        <v>111</v>
      </c>
      <c r="E63" s="5" t="s">
        <v>70</v>
      </c>
      <c r="F63" s="5">
        <v>2</v>
      </c>
      <c r="G63" s="5">
        <v>3</v>
      </c>
      <c r="H63" s="5">
        <v>3</v>
      </c>
      <c r="I63" s="5">
        <v>4</v>
      </c>
      <c r="J63" s="5">
        <v>1</v>
      </c>
      <c r="K63" s="5">
        <v>2</v>
      </c>
      <c r="L63" s="5">
        <v>4</v>
      </c>
      <c r="M63" s="5" t="s">
        <v>19</v>
      </c>
      <c r="N63" s="5" t="s">
        <v>186</v>
      </c>
      <c r="O63" s="5" t="s">
        <v>187</v>
      </c>
      <c r="P63" s="6" t="s">
        <v>20</v>
      </c>
    </row>
    <row r="64" spans="1:16" ht="22.5" hidden="1" customHeight="1" x14ac:dyDescent="0.25">
      <c r="A64" s="4">
        <v>45925.724113078701</v>
      </c>
      <c r="B64" s="5">
        <v>861</v>
      </c>
      <c r="C64" s="5" t="s">
        <v>188</v>
      </c>
      <c r="D64" s="5" t="s">
        <v>111</v>
      </c>
      <c r="E64" s="5" t="s">
        <v>70</v>
      </c>
      <c r="F64" s="5">
        <v>4</v>
      </c>
      <c r="G64" s="5">
        <v>4</v>
      </c>
      <c r="H64" s="5">
        <v>4</v>
      </c>
      <c r="I64" s="5">
        <v>4</v>
      </c>
      <c r="J64" s="5">
        <v>3</v>
      </c>
      <c r="K64" s="5">
        <v>4</v>
      </c>
      <c r="L64" s="5">
        <v>4</v>
      </c>
      <c r="M64" s="5" t="s">
        <v>19</v>
      </c>
      <c r="N64" s="5" t="s">
        <v>189</v>
      </c>
      <c r="O64" s="5" t="s">
        <v>190</v>
      </c>
      <c r="P64" s="6" t="s">
        <v>20</v>
      </c>
    </row>
    <row r="65" spans="1:16" ht="22.5" hidden="1" customHeight="1" x14ac:dyDescent="0.25">
      <c r="A65" s="4">
        <v>45925.738962835647</v>
      </c>
      <c r="B65" s="5">
        <v>1056</v>
      </c>
      <c r="C65" s="5" t="s">
        <v>191</v>
      </c>
      <c r="D65" s="5" t="s">
        <v>111</v>
      </c>
      <c r="E65" s="5" t="s">
        <v>70</v>
      </c>
      <c r="F65" s="5">
        <v>4</v>
      </c>
      <c r="G65" s="5">
        <v>4</v>
      </c>
      <c r="H65" s="5">
        <v>4</v>
      </c>
      <c r="I65" s="5">
        <v>4</v>
      </c>
      <c r="J65" s="5">
        <v>4</v>
      </c>
      <c r="K65" s="5">
        <v>4</v>
      </c>
      <c r="L65" s="5">
        <v>4</v>
      </c>
      <c r="M65" s="5" t="s">
        <v>19</v>
      </c>
      <c r="N65" s="5" t="s">
        <v>192</v>
      </c>
      <c r="O65" s="5" t="s">
        <v>193</v>
      </c>
      <c r="P65" s="6" t="s">
        <v>20</v>
      </c>
    </row>
    <row r="66" spans="1:16" ht="22.5" hidden="1" customHeight="1" x14ac:dyDescent="0.25">
      <c r="A66" s="4">
        <v>45925.755641099538</v>
      </c>
      <c r="B66" s="5">
        <v>1466</v>
      </c>
      <c r="C66" s="5" t="s">
        <v>194</v>
      </c>
      <c r="D66" s="5" t="s">
        <v>111</v>
      </c>
      <c r="E66" s="5" t="s">
        <v>70</v>
      </c>
      <c r="F66" s="5">
        <v>4</v>
      </c>
      <c r="G66" s="5">
        <v>3</v>
      </c>
      <c r="H66" s="5">
        <v>4</v>
      </c>
      <c r="I66" s="5">
        <v>3</v>
      </c>
      <c r="J66" s="5">
        <v>3</v>
      </c>
      <c r="K66" s="5">
        <v>3</v>
      </c>
      <c r="L66" s="5">
        <v>4</v>
      </c>
      <c r="M66" s="5" t="s">
        <v>19</v>
      </c>
      <c r="N66" s="5" t="s">
        <v>195</v>
      </c>
      <c r="O66" s="5" t="s">
        <v>196</v>
      </c>
      <c r="P66" s="6" t="s">
        <v>20</v>
      </c>
    </row>
    <row r="67" spans="1:16" ht="22.5" hidden="1" customHeight="1" x14ac:dyDescent="0.25">
      <c r="A67" s="4">
        <v>45925.76718023148</v>
      </c>
      <c r="B67" s="5">
        <v>1408</v>
      </c>
      <c r="C67" s="5" t="s">
        <v>197</v>
      </c>
      <c r="D67" s="5" t="s">
        <v>69</v>
      </c>
      <c r="E67" s="5" t="s">
        <v>70</v>
      </c>
      <c r="F67" s="5">
        <v>4</v>
      </c>
      <c r="G67" s="5">
        <v>4</v>
      </c>
      <c r="H67" s="5">
        <v>2</v>
      </c>
      <c r="I67" s="5">
        <v>4</v>
      </c>
      <c r="J67" s="5">
        <v>4</v>
      </c>
      <c r="K67" s="5">
        <v>4</v>
      </c>
      <c r="L67" s="5">
        <v>4</v>
      </c>
      <c r="M67" s="5" t="s">
        <v>55</v>
      </c>
      <c r="N67" s="5" t="s">
        <v>198</v>
      </c>
      <c r="O67" s="5" t="s">
        <v>199</v>
      </c>
      <c r="P67" s="6" t="s">
        <v>20</v>
      </c>
    </row>
    <row r="68" spans="1:16" ht="22.5" hidden="1" customHeight="1" x14ac:dyDescent="0.25">
      <c r="A68" s="4">
        <v>45926.458046377316</v>
      </c>
      <c r="B68" s="5">
        <v>717</v>
      </c>
      <c r="C68" s="5" t="s">
        <v>200</v>
      </c>
      <c r="D68" s="5" t="s">
        <v>111</v>
      </c>
      <c r="E68" s="5" t="s">
        <v>70</v>
      </c>
      <c r="F68" s="5">
        <v>3</v>
      </c>
      <c r="G68" s="5">
        <v>4</v>
      </c>
      <c r="H68" s="5">
        <v>2</v>
      </c>
      <c r="I68" s="5">
        <v>3</v>
      </c>
      <c r="J68" s="5">
        <v>1</v>
      </c>
      <c r="K68" s="5">
        <v>1</v>
      </c>
      <c r="L68" s="5">
        <v>3</v>
      </c>
      <c r="M68" s="5" t="s">
        <v>19</v>
      </c>
      <c r="N68" s="5" t="s">
        <v>201</v>
      </c>
      <c r="O68" s="5" t="s">
        <v>202</v>
      </c>
      <c r="P68" s="6" t="s">
        <v>20</v>
      </c>
    </row>
    <row r="69" spans="1:16" ht="22.5" hidden="1" customHeight="1" x14ac:dyDescent="0.25">
      <c r="A69" s="4">
        <v>45926.690769525463</v>
      </c>
      <c r="B69" s="5">
        <v>1270</v>
      </c>
      <c r="C69" s="5" t="s">
        <v>97</v>
      </c>
      <c r="D69" s="5" t="s">
        <v>60</v>
      </c>
      <c r="E69" s="5" t="s">
        <v>61</v>
      </c>
      <c r="F69" s="5">
        <v>3</v>
      </c>
      <c r="G69" s="5">
        <v>4</v>
      </c>
      <c r="H69" s="5">
        <v>3</v>
      </c>
      <c r="I69" s="5">
        <v>2</v>
      </c>
      <c r="J69" s="5">
        <v>3</v>
      </c>
      <c r="K69" s="5">
        <v>2</v>
      </c>
      <c r="L69" s="5">
        <v>3</v>
      </c>
      <c r="M69" s="5" t="s">
        <v>19</v>
      </c>
      <c r="N69" s="5" t="s">
        <v>203</v>
      </c>
      <c r="O69" s="5" t="s">
        <v>204</v>
      </c>
      <c r="P69" s="6" t="s">
        <v>20</v>
      </c>
    </row>
    <row r="70" spans="1:16" ht="22.5" hidden="1" customHeight="1" x14ac:dyDescent="0.25">
      <c r="A70" s="4">
        <v>45929.525317430554</v>
      </c>
      <c r="B70" s="5">
        <v>1366</v>
      </c>
      <c r="C70" s="5" t="s">
        <v>205</v>
      </c>
      <c r="D70" s="5" t="s">
        <v>111</v>
      </c>
      <c r="E70" s="5" t="s">
        <v>70</v>
      </c>
      <c r="F70" s="5">
        <v>2</v>
      </c>
      <c r="G70" s="5">
        <v>3</v>
      </c>
      <c r="H70" s="5">
        <v>3</v>
      </c>
      <c r="I70" s="5">
        <v>3</v>
      </c>
      <c r="J70" s="5">
        <v>1</v>
      </c>
      <c r="K70" s="5">
        <v>2</v>
      </c>
      <c r="L70" s="5">
        <v>3</v>
      </c>
      <c r="M70" s="5" t="s">
        <v>19</v>
      </c>
      <c r="N70" s="5" t="s">
        <v>206</v>
      </c>
      <c r="O70" s="5" t="s">
        <v>207</v>
      </c>
      <c r="P70" s="6" t="s">
        <v>20</v>
      </c>
    </row>
    <row r="71" spans="1:16" ht="22.5" hidden="1" customHeight="1" x14ac:dyDescent="0.25">
      <c r="A71" s="4">
        <v>45929.772137916661</v>
      </c>
      <c r="B71" s="5">
        <v>1332</v>
      </c>
      <c r="C71" s="5" t="s">
        <v>42</v>
      </c>
      <c r="D71" s="5" t="s">
        <v>53</v>
      </c>
      <c r="E71" s="5" t="s">
        <v>54</v>
      </c>
      <c r="F71" s="5">
        <v>3</v>
      </c>
      <c r="G71" s="5">
        <v>3</v>
      </c>
      <c r="H71" s="5">
        <v>4</v>
      </c>
      <c r="I71" s="5">
        <v>4</v>
      </c>
      <c r="J71" s="5">
        <v>2</v>
      </c>
      <c r="K71" s="5">
        <v>3</v>
      </c>
      <c r="L71" s="5">
        <v>4</v>
      </c>
      <c r="M71" s="5" t="s">
        <v>19</v>
      </c>
      <c r="N71" s="5" t="s">
        <v>208</v>
      </c>
      <c r="O71" s="5" t="s">
        <v>209</v>
      </c>
      <c r="P71" s="6" t="s">
        <v>20</v>
      </c>
    </row>
    <row r="72" spans="1:16" ht="22.5" hidden="1" customHeight="1" x14ac:dyDescent="0.25">
      <c r="A72" s="4">
        <v>45930.769870115742</v>
      </c>
      <c r="B72" s="5">
        <v>983</v>
      </c>
      <c r="C72" s="5" t="s">
        <v>64</v>
      </c>
      <c r="D72" s="5" t="s">
        <v>60</v>
      </c>
      <c r="E72" s="5" t="s">
        <v>54</v>
      </c>
      <c r="F72" s="5">
        <v>4</v>
      </c>
      <c r="G72" s="5">
        <v>4</v>
      </c>
      <c r="H72" s="5">
        <v>4</v>
      </c>
      <c r="I72" s="5">
        <v>4</v>
      </c>
      <c r="J72" s="5">
        <v>4</v>
      </c>
      <c r="K72" s="5">
        <v>4</v>
      </c>
      <c r="L72" s="5">
        <v>4</v>
      </c>
      <c r="M72" s="5" t="s">
        <v>55</v>
      </c>
      <c r="N72" s="5" t="s">
        <v>210</v>
      </c>
      <c r="O72" s="5" t="s">
        <v>211</v>
      </c>
      <c r="P72" s="6" t="s">
        <v>20</v>
      </c>
    </row>
    <row r="73" spans="1:16" ht="22.5" hidden="1" customHeight="1" x14ac:dyDescent="0.25">
      <c r="A73" s="4">
        <v>45932.429331562496</v>
      </c>
      <c r="B73" s="5">
        <v>1079</v>
      </c>
      <c r="C73" s="5" t="s">
        <v>212</v>
      </c>
      <c r="D73" s="5" t="s">
        <v>60</v>
      </c>
      <c r="E73" s="5" t="s">
        <v>54</v>
      </c>
      <c r="F73" s="5">
        <v>4</v>
      </c>
      <c r="G73" s="5">
        <v>4</v>
      </c>
      <c r="H73" s="5">
        <v>4</v>
      </c>
      <c r="I73" s="5">
        <v>4</v>
      </c>
      <c r="J73" s="5">
        <v>3</v>
      </c>
      <c r="K73" s="5">
        <v>4</v>
      </c>
      <c r="L73" s="5">
        <v>4</v>
      </c>
      <c r="M73" s="5" t="s">
        <v>19</v>
      </c>
      <c r="N73" s="5" t="s">
        <v>213</v>
      </c>
      <c r="O73" s="5" t="s">
        <v>214</v>
      </c>
      <c r="P73" s="6" t="s">
        <v>20</v>
      </c>
    </row>
    <row r="74" spans="1:16" ht="22.5" hidden="1" customHeight="1" x14ac:dyDescent="0.25">
      <c r="A74" s="4">
        <v>45939.680285844908</v>
      </c>
      <c r="B74" s="7" t="s">
        <v>215</v>
      </c>
      <c r="C74" s="5" t="s">
        <v>216</v>
      </c>
      <c r="D74" s="5" t="s">
        <v>164</v>
      </c>
      <c r="E74" s="5" t="s">
        <v>217</v>
      </c>
      <c r="F74" s="5">
        <v>4</v>
      </c>
      <c r="G74" s="5">
        <v>4</v>
      </c>
      <c r="H74" s="5">
        <v>4</v>
      </c>
      <c r="I74" s="5">
        <v>4</v>
      </c>
      <c r="J74" s="5">
        <v>4</v>
      </c>
      <c r="K74" s="5">
        <v>4</v>
      </c>
      <c r="L74" s="5">
        <v>4</v>
      </c>
      <c r="M74" s="5" t="s">
        <v>19</v>
      </c>
      <c r="N74" s="5" t="s">
        <v>218</v>
      </c>
      <c r="O74" s="5" t="s">
        <v>219</v>
      </c>
      <c r="P74" s="6" t="s">
        <v>20</v>
      </c>
    </row>
    <row r="75" spans="1:16" ht="22.5" hidden="1" customHeight="1" x14ac:dyDescent="0.25">
      <c r="A75" s="4">
        <v>45939.685680277777</v>
      </c>
      <c r="B75" s="5">
        <v>1050</v>
      </c>
      <c r="C75" s="5" t="s">
        <v>220</v>
      </c>
      <c r="D75" s="5" t="s">
        <v>164</v>
      </c>
      <c r="E75" s="5" t="s">
        <v>217</v>
      </c>
      <c r="F75" s="5">
        <v>4</v>
      </c>
      <c r="G75" s="5">
        <v>3</v>
      </c>
      <c r="H75" s="5">
        <v>4</v>
      </c>
      <c r="I75" s="5">
        <v>4</v>
      </c>
      <c r="J75" s="5">
        <v>4</v>
      </c>
      <c r="K75" s="5">
        <v>4</v>
      </c>
      <c r="L75" s="5">
        <v>4</v>
      </c>
      <c r="M75" s="5" t="s">
        <v>19</v>
      </c>
      <c r="N75" s="5" t="s">
        <v>157</v>
      </c>
      <c r="O75" s="5" t="s">
        <v>157</v>
      </c>
      <c r="P75" s="6" t="s">
        <v>20</v>
      </c>
    </row>
    <row r="76" spans="1:16" ht="22.5" hidden="1" customHeight="1" x14ac:dyDescent="0.25">
      <c r="A76" s="4">
        <v>45940.748983668978</v>
      </c>
      <c r="B76" s="5">
        <v>1258</v>
      </c>
      <c r="C76" s="5" t="s">
        <v>147</v>
      </c>
      <c r="D76" s="5" t="s">
        <v>164</v>
      </c>
      <c r="E76" s="5" t="s">
        <v>217</v>
      </c>
      <c r="F76" s="5">
        <v>3</v>
      </c>
      <c r="G76" s="5">
        <v>4</v>
      </c>
      <c r="H76" s="5">
        <v>3</v>
      </c>
      <c r="I76" s="5">
        <v>3</v>
      </c>
      <c r="J76" s="5">
        <v>4</v>
      </c>
      <c r="K76" s="5">
        <v>3</v>
      </c>
      <c r="L76" s="5">
        <v>3</v>
      </c>
      <c r="M76" s="5" t="s">
        <v>19</v>
      </c>
      <c r="N76" s="5" t="s">
        <v>221</v>
      </c>
      <c r="O76" s="5" t="s">
        <v>222</v>
      </c>
      <c r="P76" s="6" t="s">
        <v>20</v>
      </c>
    </row>
    <row r="77" spans="1:16" ht="22.5" hidden="1" customHeight="1" x14ac:dyDescent="0.25">
      <c r="A77" s="4">
        <v>45940.74901053241</v>
      </c>
      <c r="B77" s="5">
        <v>1435</v>
      </c>
      <c r="C77" s="5" t="s">
        <v>223</v>
      </c>
      <c r="D77" s="5" t="s">
        <v>69</v>
      </c>
      <c r="E77" s="5" t="s">
        <v>70</v>
      </c>
      <c r="F77" s="5">
        <v>3</v>
      </c>
      <c r="G77" s="5">
        <v>3</v>
      </c>
      <c r="H77" s="5">
        <v>4</v>
      </c>
      <c r="I77" s="5">
        <v>3</v>
      </c>
      <c r="J77" s="5">
        <v>3</v>
      </c>
      <c r="K77" s="5">
        <v>3</v>
      </c>
      <c r="L77" s="5">
        <v>3</v>
      </c>
      <c r="M77" s="5" t="s">
        <v>19</v>
      </c>
      <c r="N77" s="5" t="s">
        <v>224</v>
      </c>
      <c r="O77" s="5" t="s">
        <v>225</v>
      </c>
      <c r="P77" s="6" t="s">
        <v>20</v>
      </c>
    </row>
    <row r="78" spans="1:16" ht="22.5" hidden="1" customHeight="1" x14ac:dyDescent="0.25">
      <c r="A78" s="4">
        <v>45946.629402326391</v>
      </c>
      <c r="B78" s="7" t="s">
        <v>215</v>
      </c>
      <c r="C78" s="5" t="s">
        <v>216</v>
      </c>
      <c r="D78" s="5" t="s">
        <v>69</v>
      </c>
      <c r="E78" s="5" t="s">
        <v>70</v>
      </c>
      <c r="F78" s="5">
        <v>4</v>
      </c>
      <c r="G78" s="5">
        <v>3</v>
      </c>
      <c r="H78" s="5">
        <v>3</v>
      </c>
      <c r="I78" s="5">
        <v>4</v>
      </c>
      <c r="J78" s="5">
        <v>3</v>
      </c>
      <c r="K78" s="5">
        <v>3</v>
      </c>
      <c r="L78" s="5">
        <v>4</v>
      </c>
      <c r="M78" s="5" t="s">
        <v>19</v>
      </c>
      <c r="N78" s="5" t="s">
        <v>122</v>
      </c>
      <c r="O78" s="5" t="s">
        <v>226</v>
      </c>
      <c r="P78" s="6" t="s">
        <v>20</v>
      </c>
    </row>
    <row r="79" spans="1:16" ht="22.5" hidden="1" customHeight="1" x14ac:dyDescent="0.25">
      <c r="A79" s="4">
        <v>45950.641117430554</v>
      </c>
      <c r="B79" s="5">
        <v>682</v>
      </c>
      <c r="C79" s="5" t="s">
        <v>227</v>
      </c>
      <c r="D79" s="5" t="s">
        <v>173</v>
      </c>
      <c r="E79" s="5" t="s">
        <v>169</v>
      </c>
      <c r="F79" s="5">
        <v>3</v>
      </c>
      <c r="G79" s="5">
        <v>4</v>
      </c>
      <c r="H79" s="5">
        <v>3</v>
      </c>
      <c r="I79" s="5">
        <v>3</v>
      </c>
      <c r="J79" s="5">
        <v>2</v>
      </c>
      <c r="K79" s="5">
        <v>3</v>
      </c>
      <c r="L79" s="5">
        <v>3</v>
      </c>
      <c r="M79" s="5" t="s">
        <v>55</v>
      </c>
      <c r="N79" s="5" t="s">
        <v>228</v>
      </c>
      <c r="O79" s="5" t="s">
        <v>229</v>
      </c>
      <c r="P79" s="6" t="s">
        <v>20</v>
      </c>
    </row>
    <row r="80" spans="1:16" ht="22.5" hidden="1" customHeight="1" x14ac:dyDescent="0.25">
      <c r="A80" s="4">
        <v>45951.741142696759</v>
      </c>
      <c r="B80" s="5">
        <v>1033</v>
      </c>
      <c r="C80" s="5" t="s">
        <v>230</v>
      </c>
      <c r="D80" s="5" t="s">
        <v>111</v>
      </c>
      <c r="E80" s="5" t="s">
        <v>70</v>
      </c>
      <c r="F80" s="5">
        <v>3</v>
      </c>
      <c r="G80" s="5">
        <v>4</v>
      </c>
      <c r="H80" s="5">
        <v>4</v>
      </c>
      <c r="I80" s="5">
        <v>3</v>
      </c>
      <c r="J80" s="5">
        <v>2</v>
      </c>
      <c r="K80" s="5">
        <v>4</v>
      </c>
      <c r="L80" s="5">
        <v>3</v>
      </c>
      <c r="M80" s="5" t="s">
        <v>19</v>
      </c>
      <c r="N80" s="5" t="s">
        <v>157</v>
      </c>
      <c r="O80" s="5" t="s">
        <v>157</v>
      </c>
      <c r="P80" s="6" t="s">
        <v>20</v>
      </c>
    </row>
    <row r="81" spans="1:16" ht="22.5" hidden="1" customHeight="1" x14ac:dyDescent="0.25">
      <c r="A81" s="4">
        <v>45952.65732726852</v>
      </c>
      <c r="B81" s="5">
        <v>619</v>
      </c>
      <c r="C81" s="5" t="s">
        <v>231</v>
      </c>
      <c r="D81" s="5" t="s">
        <v>60</v>
      </c>
      <c r="E81" s="5" t="s">
        <v>108</v>
      </c>
      <c r="F81" s="5">
        <v>4</v>
      </c>
      <c r="G81" s="5">
        <v>4</v>
      </c>
      <c r="H81" s="5">
        <v>4</v>
      </c>
      <c r="I81" s="5">
        <v>4</v>
      </c>
      <c r="J81" s="5">
        <v>4</v>
      </c>
      <c r="K81" s="5">
        <v>3</v>
      </c>
      <c r="L81" s="5">
        <v>4</v>
      </c>
      <c r="M81" s="5" t="s">
        <v>19</v>
      </c>
      <c r="N81" s="5" t="s">
        <v>232</v>
      </c>
      <c r="O81" s="5" t="s">
        <v>157</v>
      </c>
      <c r="P81" s="6" t="s">
        <v>20</v>
      </c>
    </row>
    <row r="82" spans="1:16" ht="22.5" hidden="1" customHeight="1" x14ac:dyDescent="0.25">
      <c r="A82" s="4">
        <v>45952.676830324075</v>
      </c>
      <c r="B82" s="7" t="s">
        <v>233</v>
      </c>
      <c r="C82" s="5" t="s">
        <v>234</v>
      </c>
      <c r="D82" s="5" t="s">
        <v>60</v>
      </c>
      <c r="E82" s="5" t="s">
        <v>108</v>
      </c>
      <c r="F82" s="5">
        <v>3</v>
      </c>
      <c r="G82" s="5">
        <v>4</v>
      </c>
      <c r="H82" s="5">
        <v>3</v>
      </c>
      <c r="I82" s="5">
        <v>4</v>
      </c>
      <c r="J82" s="5">
        <v>3</v>
      </c>
      <c r="K82" s="5">
        <v>1</v>
      </c>
      <c r="L82" s="5">
        <v>1</v>
      </c>
      <c r="M82" s="5" t="s">
        <v>19</v>
      </c>
      <c r="N82" s="5" t="s">
        <v>157</v>
      </c>
      <c r="O82" s="5" t="s">
        <v>235</v>
      </c>
      <c r="P82" s="6" t="s">
        <v>20</v>
      </c>
    </row>
    <row r="83" spans="1:16" ht="22.5" hidden="1" customHeight="1" x14ac:dyDescent="0.25">
      <c r="A83" s="4">
        <v>45952.747869178245</v>
      </c>
      <c r="B83" s="5">
        <v>1034</v>
      </c>
      <c r="C83" s="5" t="s">
        <v>236</v>
      </c>
      <c r="D83" s="5" t="s">
        <v>60</v>
      </c>
      <c r="E83" s="5" t="s">
        <v>108</v>
      </c>
      <c r="F83" s="5">
        <v>3</v>
      </c>
      <c r="G83" s="5">
        <v>3</v>
      </c>
      <c r="H83" s="5">
        <v>3</v>
      </c>
      <c r="I83" s="5">
        <v>3</v>
      </c>
      <c r="J83" s="5">
        <v>3</v>
      </c>
      <c r="K83" s="5">
        <v>3</v>
      </c>
      <c r="L83" s="5">
        <v>3</v>
      </c>
      <c r="M83" s="5" t="s">
        <v>19</v>
      </c>
      <c r="N83" s="5" t="s">
        <v>237</v>
      </c>
      <c r="O83" s="5" t="s">
        <v>238</v>
      </c>
      <c r="P83" s="6" t="s">
        <v>20</v>
      </c>
    </row>
    <row r="84" spans="1:16" ht="22.5" hidden="1" customHeight="1" x14ac:dyDescent="0.25">
      <c r="A84" s="4">
        <v>45953.594863067134</v>
      </c>
      <c r="B84" s="5">
        <v>967</v>
      </c>
      <c r="C84" s="5" t="s">
        <v>239</v>
      </c>
      <c r="D84" s="5" t="s">
        <v>117</v>
      </c>
      <c r="E84" s="5" t="s">
        <v>118</v>
      </c>
      <c r="F84" s="5">
        <v>4</v>
      </c>
      <c r="G84" s="5">
        <v>4</v>
      </c>
      <c r="H84" s="5">
        <v>4</v>
      </c>
      <c r="I84" s="5">
        <v>4</v>
      </c>
      <c r="J84" s="5">
        <v>3</v>
      </c>
      <c r="K84" s="5">
        <v>3</v>
      </c>
      <c r="L84" s="5">
        <v>4</v>
      </c>
      <c r="M84" s="5" t="s">
        <v>19</v>
      </c>
      <c r="N84" s="5" t="s">
        <v>240</v>
      </c>
      <c r="O84" s="5" t="s">
        <v>241</v>
      </c>
      <c r="P84" s="6" t="s">
        <v>20</v>
      </c>
    </row>
    <row r="85" spans="1:16" ht="22.5" hidden="1" customHeight="1" x14ac:dyDescent="0.25">
      <c r="A85" s="4">
        <v>45959.662675532411</v>
      </c>
      <c r="B85" s="5">
        <v>1180</v>
      </c>
      <c r="C85" s="5" t="s">
        <v>242</v>
      </c>
      <c r="D85" s="5" t="s">
        <v>60</v>
      </c>
      <c r="E85" s="5" t="s">
        <v>108</v>
      </c>
      <c r="F85" s="5">
        <v>3</v>
      </c>
      <c r="G85" s="5">
        <v>3</v>
      </c>
      <c r="H85" s="5">
        <v>3</v>
      </c>
      <c r="I85" s="5">
        <v>3</v>
      </c>
      <c r="J85" s="5">
        <v>1</v>
      </c>
      <c r="K85" s="5">
        <v>3</v>
      </c>
      <c r="L85" s="5">
        <v>3</v>
      </c>
      <c r="M85" s="5" t="s">
        <v>55</v>
      </c>
      <c r="N85" s="5" t="s">
        <v>243</v>
      </c>
      <c r="O85" s="5" t="s">
        <v>244</v>
      </c>
      <c r="P85" s="6" t="s">
        <v>20</v>
      </c>
    </row>
    <row r="86" spans="1:16" ht="22.5" hidden="1" customHeight="1" x14ac:dyDescent="0.25">
      <c r="A86" s="4">
        <v>45961.731983171296</v>
      </c>
      <c r="B86" s="7" t="s">
        <v>245</v>
      </c>
      <c r="C86" s="5" t="s">
        <v>246</v>
      </c>
      <c r="D86" s="5" t="s">
        <v>111</v>
      </c>
      <c r="E86" s="5" t="s">
        <v>70</v>
      </c>
      <c r="F86" s="5">
        <v>4</v>
      </c>
      <c r="G86" s="5">
        <v>3</v>
      </c>
      <c r="H86" s="5">
        <v>4</v>
      </c>
      <c r="I86" s="5">
        <v>3</v>
      </c>
      <c r="J86" s="5">
        <v>3</v>
      </c>
      <c r="K86" s="5">
        <v>4</v>
      </c>
      <c r="L86" s="5">
        <v>4</v>
      </c>
      <c r="M86" s="5" t="s">
        <v>19</v>
      </c>
      <c r="N86" s="5" t="s">
        <v>247</v>
      </c>
      <c r="O86" s="5" t="s">
        <v>248</v>
      </c>
      <c r="P86" s="6" t="s">
        <v>20</v>
      </c>
    </row>
    <row r="87" spans="1:16" ht="22.5" hidden="1" customHeight="1" x14ac:dyDescent="0.25">
      <c r="A87" s="4">
        <v>45961.768628449077</v>
      </c>
      <c r="B87" s="5">
        <v>1032</v>
      </c>
      <c r="C87" s="5" t="s">
        <v>249</v>
      </c>
      <c r="D87" s="5" t="s">
        <v>60</v>
      </c>
      <c r="E87" s="5" t="s">
        <v>61</v>
      </c>
      <c r="F87" s="5">
        <v>4</v>
      </c>
      <c r="G87" s="5">
        <v>4</v>
      </c>
      <c r="H87" s="5">
        <v>4</v>
      </c>
      <c r="I87" s="5">
        <v>4</v>
      </c>
      <c r="J87" s="5">
        <v>4</v>
      </c>
      <c r="K87" s="5">
        <v>4</v>
      </c>
      <c r="L87" s="5">
        <v>4</v>
      </c>
      <c r="M87" s="5" t="s">
        <v>19</v>
      </c>
      <c r="N87" s="5" t="s">
        <v>250</v>
      </c>
      <c r="O87" s="5" t="s">
        <v>251</v>
      </c>
      <c r="P87" s="6" t="s">
        <v>20</v>
      </c>
    </row>
    <row r="88" spans="1:16" ht="22.5" hidden="1" customHeight="1" x14ac:dyDescent="0.25">
      <c r="A88" s="4">
        <v>45961.775467500003</v>
      </c>
      <c r="B88" s="5">
        <v>1332</v>
      </c>
      <c r="C88" s="5" t="s">
        <v>42</v>
      </c>
      <c r="D88" s="5" t="s">
        <v>60</v>
      </c>
      <c r="E88" s="5" t="s">
        <v>61</v>
      </c>
      <c r="F88" s="5">
        <v>4</v>
      </c>
      <c r="G88" s="5">
        <v>3</v>
      </c>
      <c r="H88" s="5">
        <v>3</v>
      </c>
      <c r="I88" s="5">
        <v>2</v>
      </c>
      <c r="J88" s="5">
        <v>3</v>
      </c>
      <c r="K88" s="5">
        <v>4</v>
      </c>
      <c r="L88" s="5">
        <v>4</v>
      </c>
      <c r="M88" s="5" t="s">
        <v>19</v>
      </c>
      <c r="N88" s="5" t="s">
        <v>252</v>
      </c>
      <c r="O88" s="5" t="s">
        <v>253</v>
      </c>
      <c r="P88" s="6" t="s">
        <v>20</v>
      </c>
    </row>
    <row r="89" spans="1:16" ht="22.5" hidden="1" customHeight="1" x14ac:dyDescent="0.25">
      <c r="A89" s="4">
        <v>45979.706299074074</v>
      </c>
      <c r="B89" s="5">
        <v>1362</v>
      </c>
      <c r="C89" s="5" t="s">
        <v>254</v>
      </c>
      <c r="D89" s="5" t="s">
        <v>148</v>
      </c>
      <c r="E89" s="5" t="s">
        <v>118</v>
      </c>
      <c r="F89" s="5">
        <v>3</v>
      </c>
      <c r="G89" s="5">
        <v>3</v>
      </c>
      <c r="H89" s="5">
        <v>4</v>
      </c>
      <c r="I89" s="5">
        <v>3</v>
      </c>
      <c r="J89" s="5">
        <v>2</v>
      </c>
      <c r="K89" s="5">
        <v>4</v>
      </c>
      <c r="L89" s="5">
        <v>4</v>
      </c>
      <c r="M89" s="5" t="s">
        <v>19</v>
      </c>
      <c r="N89" s="5" t="s">
        <v>255</v>
      </c>
      <c r="O89" s="5" t="s">
        <v>256</v>
      </c>
      <c r="P89" s="6" t="s">
        <v>257</v>
      </c>
    </row>
    <row r="90" spans="1:16" ht="22.5" hidden="1" customHeight="1" x14ac:dyDescent="0.25">
      <c r="A90" s="4">
        <v>45979.761456145832</v>
      </c>
      <c r="B90" s="5">
        <v>1422</v>
      </c>
      <c r="C90" s="5" t="s">
        <v>258</v>
      </c>
      <c r="D90" s="5" t="s">
        <v>259</v>
      </c>
      <c r="E90" s="5" t="s">
        <v>260</v>
      </c>
      <c r="F90" s="5">
        <v>4</v>
      </c>
      <c r="G90" s="5">
        <v>3</v>
      </c>
      <c r="H90" s="5">
        <v>4</v>
      </c>
      <c r="I90" s="5">
        <v>4</v>
      </c>
      <c r="J90" s="5">
        <v>4</v>
      </c>
      <c r="K90" s="5">
        <v>4</v>
      </c>
      <c r="L90" s="5">
        <v>4</v>
      </c>
      <c r="M90" s="5" t="s">
        <v>19</v>
      </c>
      <c r="N90" s="5" t="s">
        <v>261</v>
      </c>
      <c r="O90" s="5" t="s">
        <v>262</v>
      </c>
    </row>
    <row r="91" spans="1:16" ht="22.5" hidden="1" customHeight="1" x14ac:dyDescent="0.25">
      <c r="A91" s="4">
        <v>45980.439199120374</v>
      </c>
      <c r="B91" s="5">
        <v>291</v>
      </c>
      <c r="C91" s="5" t="s">
        <v>263</v>
      </c>
      <c r="D91" s="5" t="s">
        <v>148</v>
      </c>
      <c r="E91" s="5" t="s">
        <v>118</v>
      </c>
      <c r="F91" s="5">
        <v>3</v>
      </c>
      <c r="G91" s="5">
        <v>3</v>
      </c>
      <c r="H91" s="5">
        <v>3</v>
      </c>
      <c r="I91" s="5">
        <v>4</v>
      </c>
      <c r="J91" s="5">
        <v>2</v>
      </c>
      <c r="K91" s="5">
        <v>4</v>
      </c>
      <c r="L91" s="5">
        <v>4</v>
      </c>
      <c r="M91" s="5" t="s">
        <v>19</v>
      </c>
      <c r="N91" s="5" t="s">
        <v>264</v>
      </c>
      <c r="O91" s="5" t="s">
        <v>265</v>
      </c>
    </row>
    <row r="92" spans="1:16" ht="22.5" hidden="1" customHeight="1" x14ac:dyDescent="0.25">
      <c r="A92" s="4">
        <v>45980.66978207176</v>
      </c>
      <c r="B92" s="7" t="s">
        <v>266</v>
      </c>
      <c r="C92" s="5" t="s">
        <v>267</v>
      </c>
      <c r="D92" s="5" t="s">
        <v>69</v>
      </c>
      <c r="E92" s="5" t="s">
        <v>70</v>
      </c>
      <c r="F92" s="5">
        <v>3</v>
      </c>
      <c r="G92" s="5">
        <v>3</v>
      </c>
      <c r="H92" s="5">
        <v>3</v>
      </c>
      <c r="I92" s="5">
        <v>3</v>
      </c>
      <c r="J92" s="5">
        <v>3</v>
      </c>
      <c r="K92" s="5">
        <v>3</v>
      </c>
      <c r="L92" s="5">
        <v>3</v>
      </c>
      <c r="M92" s="5" t="s">
        <v>19</v>
      </c>
      <c r="N92" s="5" t="s">
        <v>268</v>
      </c>
      <c r="O92" s="5" t="s">
        <v>269</v>
      </c>
    </row>
    <row r="93" spans="1:16" ht="22.5" hidden="1" customHeight="1" x14ac:dyDescent="0.25">
      <c r="A93" s="4">
        <v>45982.780050138885</v>
      </c>
      <c r="B93" s="7" t="s">
        <v>270</v>
      </c>
      <c r="C93" s="5" t="s">
        <v>271</v>
      </c>
      <c r="D93" s="5" t="s">
        <v>272</v>
      </c>
      <c r="E93" s="5" t="s">
        <v>273</v>
      </c>
      <c r="F93" s="5">
        <v>3</v>
      </c>
      <c r="G93" s="5">
        <v>2</v>
      </c>
      <c r="H93" s="5">
        <v>3</v>
      </c>
      <c r="I93" s="5">
        <v>3</v>
      </c>
      <c r="J93" s="5">
        <v>3</v>
      </c>
      <c r="K93" s="5">
        <v>4</v>
      </c>
      <c r="L93" s="5">
        <v>4</v>
      </c>
      <c r="M93" s="5" t="s">
        <v>19</v>
      </c>
      <c r="N93" s="5" t="s">
        <v>157</v>
      </c>
      <c r="O93" s="5" t="s">
        <v>274</v>
      </c>
    </row>
    <row r="94" spans="1:16" ht="22.5" hidden="1" customHeight="1" x14ac:dyDescent="0.25">
      <c r="A94" s="4">
        <v>45986.791751458339</v>
      </c>
      <c r="B94" s="5">
        <v>1090</v>
      </c>
      <c r="C94" s="5" t="s">
        <v>275</v>
      </c>
      <c r="D94" s="5" t="s">
        <v>53</v>
      </c>
      <c r="E94" s="5" t="s">
        <v>276</v>
      </c>
      <c r="F94" s="5">
        <v>3</v>
      </c>
      <c r="G94" s="5">
        <v>4</v>
      </c>
      <c r="H94" s="5">
        <v>3</v>
      </c>
      <c r="I94" s="5">
        <v>3</v>
      </c>
      <c r="J94" s="5">
        <v>3</v>
      </c>
      <c r="K94" s="5">
        <v>3</v>
      </c>
      <c r="L94" s="5">
        <v>3</v>
      </c>
      <c r="M94" s="5" t="s">
        <v>19</v>
      </c>
      <c r="N94" s="5" t="s">
        <v>277</v>
      </c>
      <c r="O94" s="5" t="s">
        <v>278</v>
      </c>
    </row>
    <row r="95" spans="1:16" ht="22.5" hidden="1" customHeight="1" x14ac:dyDescent="0.25">
      <c r="A95" s="4">
        <v>45987.700875023147</v>
      </c>
      <c r="B95" s="5">
        <v>1357</v>
      </c>
      <c r="C95" s="5" t="s">
        <v>279</v>
      </c>
      <c r="D95" s="5" t="s">
        <v>53</v>
      </c>
      <c r="E95" s="5" t="s">
        <v>276</v>
      </c>
      <c r="F95" s="5">
        <v>4</v>
      </c>
      <c r="G95" s="5">
        <v>3</v>
      </c>
      <c r="H95" s="5">
        <v>4</v>
      </c>
      <c r="I95" s="5">
        <v>4</v>
      </c>
      <c r="J95" s="5">
        <v>4</v>
      </c>
      <c r="K95" s="5">
        <v>4</v>
      </c>
      <c r="L95" s="5">
        <v>4</v>
      </c>
      <c r="M95" s="5" t="s">
        <v>19</v>
      </c>
      <c r="N95" s="5" t="s">
        <v>280</v>
      </c>
      <c r="O95" s="5" t="s">
        <v>281</v>
      </c>
    </row>
    <row r="96" spans="1:16" ht="22.5" hidden="1" customHeight="1" x14ac:dyDescent="0.25">
      <c r="A96" s="4">
        <v>45987.735700613426</v>
      </c>
      <c r="B96" s="5">
        <v>1042</v>
      </c>
      <c r="C96" s="5" t="s">
        <v>282</v>
      </c>
      <c r="D96" s="5" t="s">
        <v>53</v>
      </c>
      <c r="E96" s="5" t="s">
        <v>276</v>
      </c>
      <c r="F96" s="5">
        <v>4</v>
      </c>
      <c r="G96" s="5">
        <v>4</v>
      </c>
      <c r="H96" s="5">
        <v>4</v>
      </c>
      <c r="I96" s="5">
        <v>4</v>
      </c>
      <c r="J96" s="5">
        <v>4</v>
      </c>
      <c r="K96" s="5">
        <v>4</v>
      </c>
      <c r="L96" s="5">
        <v>4</v>
      </c>
      <c r="M96" s="5" t="s">
        <v>19</v>
      </c>
      <c r="N96" s="5" t="s">
        <v>283</v>
      </c>
      <c r="O96" s="5" t="s">
        <v>284</v>
      </c>
    </row>
    <row r="97" spans="1:15" ht="22.5" hidden="1" customHeight="1" x14ac:dyDescent="0.25">
      <c r="A97" s="4">
        <v>45988.65271461806</v>
      </c>
      <c r="B97" s="7" t="s">
        <v>285</v>
      </c>
      <c r="C97" s="5" t="s">
        <v>286</v>
      </c>
      <c r="D97" s="5" t="s">
        <v>164</v>
      </c>
      <c r="E97" s="5" t="s">
        <v>276</v>
      </c>
      <c r="F97" s="5">
        <v>3</v>
      </c>
      <c r="G97" s="5">
        <v>3</v>
      </c>
      <c r="H97" s="5">
        <v>4</v>
      </c>
      <c r="I97" s="5">
        <v>3</v>
      </c>
      <c r="J97" s="5">
        <v>3</v>
      </c>
      <c r="K97" s="5">
        <v>4</v>
      </c>
      <c r="L97" s="5">
        <v>4</v>
      </c>
      <c r="M97" s="5" t="s">
        <v>19</v>
      </c>
      <c r="N97" s="5" t="s">
        <v>287</v>
      </c>
      <c r="O97" s="5" t="s">
        <v>288</v>
      </c>
    </row>
    <row r="98" spans="1:15" ht="22.5" hidden="1" customHeight="1" x14ac:dyDescent="0.25">
      <c r="A98" s="4">
        <v>45989.545495034719</v>
      </c>
      <c r="B98" s="5">
        <v>1328</v>
      </c>
      <c r="C98" s="5" t="s">
        <v>163</v>
      </c>
      <c r="D98" s="5" t="s">
        <v>159</v>
      </c>
      <c r="E98" s="5" t="s">
        <v>276</v>
      </c>
      <c r="F98" s="5">
        <v>3</v>
      </c>
      <c r="G98" s="5">
        <v>3</v>
      </c>
      <c r="H98" s="5">
        <v>4</v>
      </c>
      <c r="I98" s="5">
        <v>3</v>
      </c>
      <c r="J98" s="5">
        <v>3</v>
      </c>
      <c r="K98" s="5">
        <v>4</v>
      </c>
      <c r="L98" s="5">
        <v>4</v>
      </c>
      <c r="M98" s="5" t="s">
        <v>19</v>
      </c>
      <c r="N98" s="5" t="s">
        <v>289</v>
      </c>
      <c r="O98" s="5" t="s">
        <v>290</v>
      </c>
    </row>
    <row r="99" spans="1:15" ht="22.5" hidden="1" customHeight="1" x14ac:dyDescent="0.25">
      <c r="A99" s="4">
        <v>45989.651768344906</v>
      </c>
      <c r="B99" s="5">
        <v>1230</v>
      </c>
      <c r="C99" s="5" t="s">
        <v>291</v>
      </c>
      <c r="D99" s="5" t="s">
        <v>292</v>
      </c>
      <c r="E99" s="5" t="s">
        <v>276</v>
      </c>
      <c r="F99" s="5">
        <v>3</v>
      </c>
      <c r="G99" s="5">
        <v>4</v>
      </c>
      <c r="H99" s="5">
        <v>3</v>
      </c>
      <c r="I99" s="5">
        <v>4</v>
      </c>
      <c r="J99" s="5">
        <v>3</v>
      </c>
      <c r="K99" s="5">
        <v>4</v>
      </c>
      <c r="L99" s="5">
        <v>4</v>
      </c>
      <c r="M99" s="5" t="s">
        <v>19</v>
      </c>
      <c r="N99" s="5" t="s">
        <v>293</v>
      </c>
      <c r="O99" s="5" t="s">
        <v>294</v>
      </c>
    </row>
    <row r="100" spans="1:15" ht="22.5" hidden="1" customHeight="1" x14ac:dyDescent="0.25">
      <c r="A100" s="4">
        <v>45994.697079571764</v>
      </c>
      <c r="B100" s="5">
        <v>1240</v>
      </c>
      <c r="C100" s="5" t="s">
        <v>295</v>
      </c>
      <c r="D100" s="5" t="s">
        <v>111</v>
      </c>
      <c r="E100" s="5" t="s">
        <v>296</v>
      </c>
      <c r="F100" s="5">
        <v>2</v>
      </c>
      <c r="G100" s="5">
        <v>3</v>
      </c>
      <c r="H100" s="5">
        <v>3</v>
      </c>
      <c r="I100" s="5">
        <v>3</v>
      </c>
      <c r="J100" s="5">
        <v>3</v>
      </c>
      <c r="K100" s="5">
        <v>2</v>
      </c>
      <c r="L100" s="5">
        <v>3</v>
      </c>
      <c r="M100" s="5" t="s">
        <v>55</v>
      </c>
      <c r="N100" s="5" t="s">
        <v>297</v>
      </c>
      <c r="O100" s="5" t="s">
        <v>298</v>
      </c>
    </row>
    <row r="101" spans="1:15" ht="22.5" hidden="1" customHeight="1" x14ac:dyDescent="0.25">
      <c r="A101" s="4">
        <v>45994.744624143517</v>
      </c>
      <c r="B101" s="5">
        <v>1229</v>
      </c>
      <c r="C101" s="5" t="s">
        <v>299</v>
      </c>
      <c r="D101" s="5" t="s">
        <v>111</v>
      </c>
      <c r="E101" s="5" t="s">
        <v>296</v>
      </c>
      <c r="F101" s="5">
        <v>4</v>
      </c>
      <c r="G101" s="5">
        <v>4</v>
      </c>
      <c r="H101" s="5">
        <v>4</v>
      </c>
      <c r="I101" s="5">
        <v>4</v>
      </c>
      <c r="J101" s="5">
        <v>4</v>
      </c>
      <c r="K101" s="5">
        <v>4</v>
      </c>
      <c r="L101" s="5">
        <v>4</v>
      </c>
      <c r="M101" s="5" t="s">
        <v>19</v>
      </c>
      <c r="N101" s="5" t="s">
        <v>300</v>
      </c>
      <c r="O101" s="5" t="s">
        <v>301</v>
      </c>
    </row>
    <row r="102" spans="1:15" ht="22.5" hidden="1" customHeight="1" x14ac:dyDescent="0.25">
      <c r="A102" s="4">
        <v>45995.448927592588</v>
      </c>
      <c r="B102" s="7" t="s">
        <v>302</v>
      </c>
      <c r="C102" s="5" t="s">
        <v>303</v>
      </c>
      <c r="D102" s="5" t="s">
        <v>111</v>
      </c>
      <c r="E102" s="5" t="s">
        <v>296</v>
      </c>
      <c r="F102" s="5">
        <v>3</v>
      </c>
      <c r="G102" s="5">
        <v>3</v>
      </c>
      <c r="H102" s="5">
        <v>3</v>
      </c>
      <c r="I102" s="5">
        <v>3</v>
      </c>
      <c r="J102" s="5">
        <v>3</v>
      </c>
      <c r="K102" s="5">
        <v>2</v>
      </c>
      <c r="L102" s="5">
        <v>3</v>
      </c>
      <c r="M102" s="5" t="s">
        <v>19</v>
      </c>
      <c r="N102" s="5" t="s">
        <v>304</v>
      </c>
      <c r="O102" s="5" t="s">
        <v>305</v>
      </c>
    </row>
    <row r="103" spans="1:15" ht="22.5" hidden="1" customHeight="1" x14ac:dyDescent="0.25">
      <c r="A103" s="4">
        <v>46001.553466307872</v>
      </c>
      <c r="B103" s="5">
        <v>746</v>
      </c>
      <c r="C103" s="5" t="s">
        <v>306</v>
      </c>
      <c r="D103" s="5" t="s">
        <v>111</v>
      </c>
      <c r="E103" s="5" t="s">
        <v>296</v>
      </c>
      <c r="F103" s="5">
        <v>4</v>
      </c>
      <c r="G103" s="5">
        <v>4</v>
      </c>
      <c r="H103" s="5">
        <v>4</v>
      </c>
      <c r="I103" s="5">
        <v>4</v>
      </c>
      <c r="J103" s="5">
        <v>3</v>
      </c>
      <c r="K103" s="5">
        <v>4</v>
      </c>
      <c r="L103" s="5">
        <v>4</v>
      </c>
      <c r="M103" s="5" t="s">
        <v>19</v>
      </c>
      <c r="N103" s="5" t="s">
        <v>157</v>
      </c>
      <c r="O103" s="5" t="s">
        <v>157</v>
      </c>
    </row>
    <row r="104" spans="1:15" ht="22.5" hidden="1" customHeight="1" x14ac:dyDescent="0.25">
      <c r="A104" s="4">
        <v>46001.610247824079</v>
      </c>
      <c r="B104" s="7" t="s">
        <v>307</v>
      </c>
      <c r="C104" s="5" t="s">
        <v>234</v>
      </c>
      <c r="D104" s="5" t="s">
        <v>111</v>
      </c>
      <c r="E104" s="5" t="s">
        <v>296</v>
      </c>
      <c r="F104" s="5">
        <v>3</v>
      </c>
      <c r="G104" s="5">
        <v>3</v>
      </c>
      <c r="H104" s="5">
        <v>3</v>
      </c>
      <c r="I104" s="5">
        <v>3</v>
      </c>
      <c r="J104" s="5">
        <v>3</v>
      </c>
      <c r="K104" s="5">
        <v>3</v>
      </c>
      <c r="L104" s="5">
        <v>3</v>
      </c>
      <c r="M104" s="5" t="s">
        <v>19</v>
      </c>
      <c r="N104" s="5" t="s">
        <v>308</v>
      </c>
      <c r="O104" s="5" t="s">
        <v>157</v>
      </c>
    </row>
    <row r="105" spans="1:15" ht="22.5" hidden="1" customHeight="1" x14ac:dyDescent="0.25">
      <c r="A105" s="4">
        <v>46001.657122719902</v>
      </c>
      <c r="B105" s="5">
        <v>1429</v>
      </c>
      <c r="C105" s="5" t="s">
        <v>309</v>
      </c>
      <c r="D105" s="5" t="s">
        <v>111</v>
      </c>
      <c r="E105" s="5" t="s">
        <v>296</v>
      </c>
      <c r="F105" s="5">
        <v>4</v>
      </c>
      <c r="G105" s="5">
        <v>4</v>
      </c>
      <c r="H105" s="5">
        <v>3</v>
      </c>
      <c r="I105" s="5">
        <v>4</v>
      </c>
      <c r="J105" s="5">
        <v>3</v>
      </c>
      <c r="K105" s="5">
        <v>4</v>
      </c>
      <c r="L105" s="5">
        <v>4</v>
      </c>
      <c r="M105" s="5" t="s">
        <v>19</v>
      </c>
      <c r="N105" s="5" t="s">
        <v>310</v>
      </c>
      <c r="O105" s="5" t="s">
        <v>311</v>
      </c>
    </row>
    <row r="106" spans="1:15" ht="22.5" hidden="1" customHeight="1" x14ac:dyDescent="0.25">
      <c r="A106" s="4">
        <v>46001.681995729166</v>
      </c>
      <c r="B106" s="5">
        <v>581</v>
      </c>
      <c r="C106" s="5" t="s">
        <v>312</v>
      </c>
      <c r="D106" s="5" t="s">
        <v>111</v>
      </c>
      <c r="E106" s="5" t="s">
        <v>296</v>
      </c>
      <c r="F106" s="5">
        <v>4</v>
      </c>
      <c r="G106" s="5">
        <v>4</v>
      </c>
      <c r="H106" s="5">
        <v>4</v>
      </c>
      <c r="I106" s="5">
        <v>4</v>
      </c>
      <c r="J106" s="5">
        <v>3</v>
      </c>
      <c r="K106" s="5">
        <v>4</v>
      </c>
      <c r="L106" s="5">
        <v>4</v>
      </c>
      <c r="M106" s="5" t="s">
        <v>19</v>
      </c>
      <c r="N106" s="5" t="s">
        <v>313</v>
      </c>
      <c r="O106" s="5" t="s">
        <v>314</v>
      </c>
    </row>
    <row r="107" spans="1:15" ht="22.5" hidden="1" customHeight="1" x14ac:dyDescent="0.25">
      <c r="A107" s="4">
        <v>46003.797009016205</v>
      </c>
      <c r="B107" s="5">
        <v>1422</v>
      </c>
      <c r="C107" s="5" t="s">
        <v>258</v>
      </c>
      <c r="D107" s="5" t="s">
        <v>173</v>
      </c>
      <c r="E107" s="5" t="s">
        <v>315</v>
      </c>
      <c r="F107" s="5">
        <v>4</v>
      </c>
      <c r="G107" s="5">
        <v>3</v>
      </c>
      <c r="H107" s="5">
        <v>4</v>
      </c>
      <c r="I107" s="5">
        <v>4</v>
      </c>
      <c r="J107" s="5">
        <v>4</v>
      </c>
      <c r="K107" s="5">
        <v>4</v>
      </c>
      <c r="L107" s="5">
        <v>4</v>
      </c>
      <c r="M107" s="5" t="s">
        <v>19</v>
      </c>
      <c r="N107" s="5" t="s">
        <v>316</v>
      </c>
      <c r="O107" s="5" t="s">
        <v>317</v>
      </c>
    </row>
    <row r="108" spans="1:15" ht="22.5" hidden="1" customHeight="1" x14ac:dyDescent="0.25">
      <c r="A108" s="4">
        <v>46006.493615844913</v>
      </c>
      <c r="B108" s="5">
        <v>698</v>
      </c>
      <c r="C108" s="5" t="s">
        <v>318</v>
      </c>
      <c r="D108" s="5" t="s">
        <v>60</v>
      </c>
      <c r="E108" s="5" t="s">
        <v>319</v>
      </c>
      <c r="F108" s="5">
        <v>4</v>
      </c>
      <c r="G108" s="5">
        <v>3</v>
      </c>
      <c r="H108" s="5">
        <v>4</v>
      </c>
      <c r="I108" s="5">
        <v>4</v>
      </c>
      <c r="J108" s="5">
        <v>4</v>
      </c>
      <c r="K108" s="5">
        <v>4</v>
      </c>
      <c r="L108" s="5">
        <v>4</v>
      </c>
      <c r="M108" s="5" t="s">
        <v>19</v>
      </c>
      <c r="N108" s="5" t="s">
        <v>320</v>
      </c>
      <c r="O108" s="5" t="s">
        <v>321</v>
      </c>
    </row>
    <row r="109" spans="1:15" ht="22.5" hidden="1" customHeight="1" x14ac:dyDescent="0.25">
      <c r="A109" s="4">
        <v>46009.58410521991</v>
      </c>
      <c r="B109" s="5">
        <v>1048</v>
      </c>
      <c r="C109" s="5" t="s">
        <v>322</v>
      </c>
      <c r="D109" s="5" t="s">
        <v>60</v>
      </c>
      <c r="E109" s="5" t="s">
        <v>319</v>
      </c>
      <c r="F109" s="5">
        <v>4</v>
      </c>
      <c r="G109" s="5">
        <v>4</v>
      </c>
      <c r="H109" s="5">
        <v>4</v>
      </c>
      <c r="I109" s="5">
        <v>4</v>
      </c>
      <c r="J109" s="5">
        <v>4</v>
      </c>
      <c r="K109" s="5">
        <v>4</v>
      </c>
      <c r="L109" s="5">
        <v>4</v>
      </c>
      <c r="M109" s="5" t="s">
        <v>19</v>
      </c>
      <c r="N109" s="5" t="s">
        <v>323</v>
      </c>
      <c r="O109" s="5" t="s">
        <v>323</v>
      </c>
    </row>
    <row r="110" spans="1:15" ht="22.5" hidden="1" customHeight="1" x14ac:dyDescent="0.25">
      <c r="A110" s="4">
        <v>46009.614197951392</v>
      </c>
      <c r="B110" s="5">
        <v>1042</v>
      </c>
      <c r="C110" s="5" t="s">
        <v>282</v>
      </c>
      <c r="D110" s="5" t="s">
        <v>60</v>
      </c>
      <c r="E110" s="5" t="s">
        <v>319</v>
      </c>
      <c r="F110" s="5">
        <v>4</v>
      </c>
      <c r="G110" s="5">
        <v>3</v>
      </c>
      <c r="H110" s="5">
        <v>4</v>
      </c>
      <c r="I110" s="5">
        <v>4</v>
      </c>
      <c r="J110" s="5">
        <v>4</v>
      </c>
      <c r="K110" s="5">
        <v>4</v>
      </c>
      <c r="L110" s="5">
        <v>4</v>
      </c>
      <c r="M110" s="5" t="s">
        <v>55</v>
      </c>
      <c r="N110" s="5" t="s">
        <v>324</v>
      </c>
      <c r="O110" s="5" t="s">
        <v>325</v>
      </c>
    </row>
    <row r="111" spans="1:15" ht="22.5" hidden="1" customHeight="1" x14ac:dyDescent="0.25">
      <c r="A111" s="4">
        <v>46009.633976851852</v>
      </c>
      <c r="B111" s="5">
        <v>406</v>
      </c>
      <c r="C111" s="5" t="s">
        <v>326</v>
      </c>
      <c r="D111" s="5" t="s">
        <v>60</v>
      </c>
      <c r="E111" s="5" t="s">
        <v>319</v>
      </c>
      <c r="F111" s="5">
        <v>4</v>
      </c>
      <c r="G111" s="5">
        <v>3</v>
      </c>
      <c r="H111" s="5">
        <v>4</v>
      </c>
      <c r="I111" s="5">
        <v>3</v>
      </c>
      <c r="J111" s="5">
        <v>4</v>
      </c>
      <c r="K111" s="5">
        <v>4</v>
      </c>
      <c r="L111" s="5">
        <v>4</v>
      </c>
      <c r="M111" s="5" t="s">
        <v>19</v>
      </c>
      <c r="N111" s="5" t="s">
        <v>327</v>
      </c>
      <c r="O111" s="5" t="s">
        <v>328</v>
      </c>
    </row>
    <row r="112" spans="1:15" ht="22.5" hidden="1" customHeight="1" x14ac:dyDescent="0.25">
      <c r="A112" s="4">
        <v>46009.812457928245</v>
      </c>
      <c r="B112" s="5">
        <v>982</v>
      </c>
      <c r="C112" s="5" t="s">
        <v>329</v>
      </c>
      <c r="D112" s="5" t="s">
        <v>60</v>
      </c>
      <c r="E112" s="5" t="s">
        <v>319</v>
      </c>
      <c r="F112" s="5">
        <v>3</v>
      </c>
      <c r="G112" s="5">
        <v>2</v>
      </c>
      <c r="H112" s="5">
        <v>3</v>
      </c>
      <c r="I112" s="5">
        <v>3</v>
      </c>
      <c r="J112" s="5">
        <v>3</v>
      </c>
      <c r="K112" s="5">
        <v>3</v>
      </c>
      <c r="L112" s="5">
        <v>3</v>
      </c>
      <c r="M112" s="5" t="s">
        <v>19</v>
      </c>
      <c r="N112" s="5" t="s">
        <v>330</v>
      </c>
      <c r="O112" s="5" t="s">
        <v>331</v>
      </c>
    </row>
    <row r="113" spans="1:15" ht="22.5" hidden="1" customHeight="1" x14ac:dyDescent="0.25">
      <c r="A113" s="4">
        <v>46010.609673726853</v>
      </c>
      <c r="B113" s="5">
        <v>149</v>
      </c>
      <c r="C113" s="5" t="s">
        <v>332</v>
      </c>
      <c r="D113" s="5" t="s">
        <v>60</v>
      </c>
      <c r="E113" s="5" t="s">
        <v>319</v>
      </c>
      <c r="F113" s="5">
        <v>3</v>
      </c>
      <c r="G113" s="5">
        <v>4</v>
      </c>
      <c r="H113" s="5">
        <v>4</v>
      </c>
      <c r="I113" s="5">
        <v>4</v>
      </c>
      <c r="J113" s="5">
        <v>2</v>
      </c>
      <c r="K113" s="5">
        <v>4</v>
      </c>
      <c r="L113" s="5">
        <v>4</v>
      </c>
      <c r="M113" s="5" t="s">
        <v>19</v>
      </c>
      <c r="N113" s="5" t="s">
        <v>333</v>
      </c>
      <c r="O113" s="5" t="s">
        <v>157</v>
      </c>
    </row>
    <row r="114" spans="1:15" ht="22.5" hidden="1" customHeight="1" x14ac:dyDescent="0.25">
      <c r="A114" s="4">
        <v>46073.725928819447</v>
      </c>
      <c r="B114" s="5">
        <v>1347</v>
      </c>
      <c r="C114" s="5" t="s">
        <v>334</v>
      </c>
      <c r="D114" s="5" t="s">
        <v>69</v>
      </c>
      <c r="E114" s="5" t="s">
        <v>335</v>
      </c>
      <c r="F114" s="5">
        <v>2</v>
      </c>
      <c r="G114" s="5">
        <v>4</v>
      </c>
      <c r="H114" s="5">
        <v>4</v>
      </c>
      <c r="I114" s="5">
        <v>3</v>
      </c>
      <c r="J114" s="5">
        <v>2</v>
      </c>
      <c r="K114" s="5">
        <v>2</v>
      </c>
      <c r="L114" s="5">
        <v>2</v>
      </c>
      <c r="M114" s="5" t="s">
        <v>19</v>
      </c>
      <c r="N114" s="5" t="s">
        <v>336</v>
      </c>
      <c r="O114" s="5" t="s">
        <v>157</v>
      </c>
    </row>
    <row r="115" spans="1:15" ht="22.5" hidden="1" customHeight="1" x14ac:dyDescent="0.25">
      <c r="A115" s="4">
        <v>46077.631158009259</v>
      </c>
      <c r="B115" s="7" t="s">
        <v>337</v>
      </c>
      <c r="C115" s="5" t="s">
        <v>338</v>
      </c>
      <c r="D115" s="5" t="s">
        <v>69</v>
      </c>
      <c r="E115" s="5" t="s">
        <v>335</v>
      </c>
      <c r="F115" s="5">
        <v>4</v>
      </c>
      <c r="G115" s="5">
        <v>4</v>
      </c>
      <c r="H115" s="5">
        <v>4</v>
      </c>
      <c r="I115" s="5">
        <v>4</v>
      </c>
      <c r="J115" s="5">
        <v>4</v>
      </c>
      <c r="K115" s="5">
        <v>4</v>
      </c>
      <c r="L115" s="5">
        <v>4</v>
      </c>
      <c r="M115" s="5" t="s">
        <v>19</v>
      </c>
      <c r="N115" s="5" t="s">
        <v>339</v>
      </c>
      <c r="O115" s="5" t="s">
        <v>340</v>
      </c>
    </row>
    <row r="116" spans="1:15" ht="22.5" hidden="1" customHeight="1" x14ac:dyDescent="0.25">
      <c r="A116" s="4">
        <v>46077.675472847222</v>
      </c>
      <c r="B116" s="5">
        <v>1223</v>
      </c>
      <c r="C116" s="5" t="s">
        <v>341</v>
      </c>
      <c r="D116" s="5" t="s">
        <v>69</v>
      </c>
      <c r="E116" s="5" t="s">
        <v>335</v>
      </c>
      <c r="F116" s="5">
        <v>3</v>
      </c>
      <c r="G116" s="5">
        <v>4</v>
      </c>
      <c r="H116" s="5">
        <v>3</v>
      </c>
      <c r="I116" s="5">
        <v>3</v>
      </c>
      <c r="J116" s="5">
        <v>3</v>
      </c>
      <c r="K116" s="5">
        <v>3</v>
      </c>
      <c r="L116" s="5">
        <v>3</v>
      </c>
      <c r="M116" s="5" t="s">
        <v>19</v>
      </c>
      <c r="N116" s="5" t="s">
        <v>342</v>
      </c>
      <c r="O116" s="5" t="s">
        <v>343</v>
      </c>
    </row>
    <row r="117" spans="1:15" ht="22.5" hidden="1" customHeight="1" x14ac:dyDescent="0.25">
      <c r="A117" s="4">
        <v>46077.719543738422</v>
      </c>
      <c r="B117" s="5">
        <v>1203</v>
      </c>
      <c r="C117" s="5" t="s">
        <v>344</v>
      </c>
      <c r="D117" s="5" t="s">
        <v>69</v>
      </c>
      <c r="E117" s="5" t="s">
        <v>335</v>
      </c>
      <c r="F117" s="5">
        <v>4</v>
      </c>
      <c r="G117" s="5">
        <v>4</v>
      </c>
      <c r="H117" s="5">
        <v>4</v>
      </c>
      <c r="I117" s="5">
        <v>4</v>
      </c>
      <c r="J117" s="5">
        <v>4</v>
      </c>
      <c r="K117" s="5">
        <v>4</v>
      </c>
      <c r="L117" s="5">
        <v>4</v>
      </c>
      <c r="M117" s="5" t="s">
        <v>19</v>
      </c>
      <c r="N117" s="5" t="s">
        <v>345</v>
      </c>
      <c r="O117" s="5" t="s">
        <v>346</v>
      </c>
    </row>
    <row r="118" spans="1:15" ht="22.5" hidden="1" customHeight="1" x14ac:dyDescent="0.25">
      <c r="A118" s="4">
        <v>46080.591019409723</v>
      </c>
      <c r="B118" s="5">
        <v>1049</v>
      </c>
      <c r="C118" s="5" t="s">
        <v>347</v>
      </c>
      <c r="D118" s="5" t="s">
        <v>111</v>
      </c>
      <c r="E118" s="5" t="s">
        <v>335</v>
      </c>
      <c r="F118" s="5">
        <v>4</v>
      </c>
      <c r="G118" s="5">
        <v>4</v>
      </c>
      <c r="H118" s="5">
        <v>4</v>
      </c>
      <c r="I118" s="5">
        <v>4</v>
      </c>
      <c r="J118" s="5">
        <v>4</v>
      </c>
      <c r="K118" s="5">
        <v>4</v>
      </c>
      <c r="L118" s="5">
        <v>4</v>
      </c>
      <c r="M118" s="5" t="s">
        <v>19</v>
      </c>
      <c r="N118" s="5" t="s">
        <v>170</v>
      </c>
      <c r="O118" s="5" t="s">
        <v>348</v>
      </c>
    </row>
    <row r="119" spans="1:15" ht="22.5" hidden="1" customHeight="1" x14ac:dyDescent="0.25">
      <c r="A119" s="4">
        <v>46080.63925818287</v>
      </c>
      <c r="B119" s="5">
        <v>932</v>
      </c>
      <c r="C119" s="5" t="s">
        <v>349</v>
      </c>
      <c r="D119" s="5" t="s">
        <v>111</v>
      </c>
      <c r="E119" s="5" t="s">
        <v>335</v>
      </c>
      <c r="F119" s="5">
        <v>4</v>
      </c>
      <c r="G119" s="5">
        <v>4</v>
      </c>
      <c r="H119" s="5">
        <v>4</v>
      </c>
      <c r="I119" s="5">
        <v>4</v>
      </c>
      <c r="J119" s="5">
        <v>3</v>
      </c>
      <c r="K119" s="5">
        <v>4</v>
      </c>
      <c r="L119" s="5">
        <v>4</v>
      </c>
      <c r="M119" s="5" t="s">
        <v>19</v>
      </c>
      <c r="N119" s="5" t="s">
        <v>350</v>
      </c>
      <c r="O119" s="5" t="s">
        <v>351</v>
      </c>
    </row>
    <row r="120" spans="1:15" ht="22.5" customHeight="1" x14ac:dyDescent="0.25">
      <c r="A120" s="4">
        <v>46086.755598587959</v>
      </c>
      <c r="B120" s="7" t="s">
        <v>352</v>
      </c>
      <c r="C120" s="5" t="s">
        <v>353</v>
      </c>
      <c r="D120" s="5" t="s">
        <v>17</v>
      </c>
      <c r="E120" s="5" t="s">
        <v>354</v>
      </c>
      <c r="F120" s="5">
        <v>4</v>
      </c>
      <c r="G120" s="5">
        <v>4</v>
      </c>
      <c r="H120" s="5">
        <v>4</v>
      </c>
      <c r="I120" s="5">
        <v>4</v>
      </c>
      <c r="J120" s="5">
        <v>4</v>
      </c>
      <c r="K120" s="5">
        <v>4</v>
      </c>
      <c r="L120" s="5">
        <v>4</v>
      </c>
      <c r="M120" s="5" t="s">
        <v>19</v>
      </c>
      <c r="N120" s="5" t="s">
        <v>355</v>
      </c>
      <c r="O120" s="5" t="s">
        <v>356</v>
      </c>
    </row>
    <row r="121" spans="1:15" ht="22.5" customHeight="1" x14ac:dyDescent="0.25">
      <c r="A121" s="4">
        <v>46086.755929085644</v>
      </c>
      <c r="B121" s="5">
        <v>1477</v>
      </c>
      <c r="C121" s="5" t="s">
        <v>357</v>
      </c>
      <c r="D121" s="5" t="s">
        <v>17</v>
      </c>
      <c r="E121" s="5" t="s">
        <v>354</v>
      </c>
      <c r="F121" s="5">
        <v>4</v>
      </c>
      <c r="G121" s="5">
        <v>4</v>
      </c>
      <c r="H121" s="5">
        <v>4</v>
      </c>
      <c r="I121" s="5">
        <v>4</v>
      </c>
      <c r="J121" s="5">
        <v>4</v>
      </c>
      <c r="K121" s="5">
        <v>4</v>
      </c>
      <c r="L121" s="5">
        <v>4</v>
      </c>
      <c r="M121" s="5" t="s">
        <v>19</v>
      </c>
      <c r="N121" s="5" t="s">
        <v>358</v>
      </c>
      <c r="O121" s="5" t="s">
        <v>359</v>
      </c>
    </row>
    <row r="122" spans="1:15" ht="22.5" customHeight="1" x14ac:dyDescent="0.25">
      <c r="A122" s="4">
        <v>46086.756515914356</v>
      </c>
      <c r="B122" s="5">
        <v>1471</v>
      </c>
      <c r="C122" s="5" t="s">
        <v>360</v>
      </c>
      <c r="D122" s="5" t="s">
        <v>17</v>
      </c>
      <c r="E122" s="5" t="s">
        <v>354</v>
      </c>
      <c r="F122" s="5">
        <v>4</v>
      </c>
      <c r="G122" s="5">
        <v>4</v>
      </c>
      <c r="H122" s="5">
        <v>4</v>
      </c>
      <c r="I122" s="5">
        <v>4</v>
      </c>
      <c r="J122" s="5">
        <v>4</v>
      </c>
      <c r="K122" s="5">
        <v>4</v>
      </c>
      <c r="L122" s="5">
        <v>4</v>
      </c>
      <c r="M122" s="5" t="s">
        <v>19</v>
      </c>
      <c r="N122" s="5" t="s">
        <v>361</v>
      </c>
      <c r="O122" s="5" t="s">
        <v>362</v>
      </c>
    </row>
    <row r="123" spans="1:15" ht="22.5" customHeight="1" x14ac:dyDescent="0.25">
      <c r="A123" s="4">
        <v>46086.756530648148</v>
      </c>
      <c r="B123" s="5">
        <v>444</v>
      </c>
      <c r="C123" s="5" t="s">
        <v>363</v>
      </c>
      <c r="D123" s="5" t="s">
        <v>17</v>
      </c>
      <c r="E123" s="5" t="s">
        <v>354</v>
      </c>
      <c r="F123" s="5">
        <v>4</v>
      </c>
      <c r="G123" s="5">
        <v>4</v>
      </c>
      <c r="H123" s="5">
        <v>4</v>
      </c>
      <c r="I123" s="5">
        <v>3</v>
      </c>
      <c r="J123" s="5">
        <v>4</v>
      </c>
      <c r="K123" s="5">
        <v>4</v>
      </c>
      <c r="L123" s="5">
        <v>4</v>
      </c>
      <c r="M123" s="5" t="s">
        <v>19</v>
      </c>
      <c r="N123" s="5" t="s">
        <v>364</v>
      </c>
      <c r="O123" s="5" t="s">
        <v>365</v>
      </c>
    </row>
    <row r="124" spans="1:15" ht="22.5" customHeight="1" x14ac:dyDescent="0.25">
      <c r="A124" s="4">
        <v>46086.756583784721</v>
      </c>
      <c r="B124" s="7" t="s">
        <v>366</v>
      </c>
      <c r="C124" s="5" t="s">
        <v>367</v>
      </c>
      <c r="D124" s="5" t="s">
        <v>17</v>
      </c>
      <c r="E124" s="5" t="s">
        <v>354</v>
      </c>
      <c r="F124" s="5">
        <v>4</v>
      </c>
      <c r="G124" s="5">
        <v>4</v>
      </c>
      <c r="H124" s="5">
        <v>4</v>
      </c>
      <c r="I124" s="5">
        <v>3</v>
      </c>
      <c r="J124" s="5">
        <v>4</v>
      </c>
      <c r="K124" s="5">
        <v>4</v>
      </c>
      <c r="L124" s="5">
        <v>4</v>
      </c>
      <c r="M124" s="5" t="s">
        <v>19</v>
      </c>
      <c r="N124" s="5" t="s">
        <v>368</v>
      </c>
      <c r="O124" s="5" t="s">
        <v>369</v>
      </c>
    </row>
    <row r="125" spans="1:15" ht="22.5" customHeight="1" x14ac:dyDescent="0.25">
      <c r="A125" s="4">
        <v>46086.756726087959</v>
      </c>
      <c r="B125" s="5">
        <v>1168</v>
      </c>
      <c r="C125" s="5" t="s">
        <v>370</v>
      </c>
      <c r="D125" s="5" t="s">
        <v>17</v>
      </c>
      <c r="E125" s="5" t="s">
        <v>354</v>
      </c>
      <c r="F125" s="5">
        <v>4</v>
      </c>
      <c r="G125" s="5">
        <v>4</v>
      </c>
      <c r="H125" s="5">
        <v>4</v>
      </c>
      <c r="I125" s="5">
        <v>3</v>
      </c>
      <c r="J125" s="5">
        <v>3</v>
      </c>
      <c r="K125" s="5">
        <v>4</v>
      </c>
      <c r="L125" s="5">
        <v>4</v>
      </c>
      <c r="M125" s="5" t="s">
        <v>19</v>
      </c>
      <c r="N125" s="5" t="s">
        <v>371</v>
      </c>
      <c r="O125" s="5" t="s">
        <v>372</v>
      </c>
    </row>
    <row r="126" spans="1:15" ht="22.5" customHeight="1" x14ac:dyDescent="0.25">
      <c r="A126" s="4">
        <v>46086.757138761575</v>
      </c>
      <c r="B126" s="5">
        <v>809</v>
      </c>
      <c r="C126" s="5" t="s">
        <v>373</v>
      </c>
      <c r="D126" s="5" t="s">
        <v>17</v>
      </c>
      <c r="E126" s="5" t="s">
        <v>354</v>
      </c>
      <c r="F126" s="5">
        <v>3</v>
      </c>
      <c r="G126" s="5">
        <v>3</v>
      </c>
      <c r="H126" s="5">
        <v>4</v>
      </c>
      <c r="I126" s="5">
        <v>4</v>
      </c>
      <c r="J126" s="5">
        <v>3</v>
      </c>
      <c r="K126" s="5">
        <v>3</v>
      </c>
      <c r="L126" s="5">
        <v>4</v>
      </c>
      <c r="M126" s="5" t="s">
        <v>19</v>
      </c>
      <c r="N126" s="5" t="s">
        <v>374</v>
      </c>
      <c r="O126" s="5" t="s">
        <v>375</v>
      </c>
    </row>
    <row r="127" spans="1:15" ht="22.5" customHeight="1" x14ac:dyDescent="0.25">
      <c r="A127" s="4">
        <v>46086.758004490737</v>
      </c>
      <c r="B127" s="5">
        <v>486</v>
      </c>
      <c r="C127" s="5" t="s">
        <v>376</v>
      </c>
      <c r="D127" s="5" t="s">
        <v>17</v>
      </c>
      <c r="E127" s="5" t="s">
        <v>354</v>
      </c>
      <c r="F127" s="5">
        <v>4</v>
      </c>
      <c r="G127" s="5">
        <v>4</v>
      </c>
      <c r="H127" s="5">
        <v>4</v>
      </c>
      <c r="I127" s="5">
        <v>4</v>
      </c>
      <c r="J127" s="5">
        <v>4</v>
      </c>
      <c r="K127" s="5">
        <v>4</v>
      </c>
      <c r="L127" s="5">
        <v>4</v>
      </c>
      <c r="M127" s="5" t="s">
        <v>19</v>
      </c>
      <c r="N127" s="5" t="s">
        <v>377</v>
      </c>
      <c r="O127" s="5" t="s">
        <v>378</v>
      </c>
    </row>
    <row r="128" spans="1:15" ht="22.5" customHeight="1" x14ac:dyDescent="0.25">
      <c r="A128" s="4">
        <v>46086.758981319443</v>
      </c>
      <c r="B128" s="5">
        <v>554</v>
      </c>
      <c r="C128" s="5" t="s">
        <v>379</v>
      </c>
      <c r="D128" s="5" t="s">
        <v>17</v>
      </c>
      <c r="E128" s="5" t="s">
        <v>354</v>
      </c>
      <c r="F128" s="5">
        <v>4</v>
      </c>
      <c r="G128" s="5">
        <v>4</v>
      </c>
      <c r="H128" s="5">
        <v>4</v>
      </c>
      <c r="I128" s="5">
        <v>4</v>
      </c>
      <c r="J128" s="5">
        <v>3</v>
      </c>
      <c r="K128" s="5">
        <v>4</v>
      </c>
      <c r="L128" s="5">
        <v>4</v>
      </c>
      <c r="M128" s="5" t="s">
        <v>19</v>
      </c>
      <c r="N128" s="5" t="s">
        <v>380</v>
      </c>
      <c r="O128" s="5" t="s">
        <v>381</v>
      </c>
    </row>
    <row r="129" spans="1:15" ht="22.5" hidden="1" customHeight="1" x14ac:dyDescent="0.25">
      <c r="A129" s="4">
        <v>46093.617895590272</v>
      </c>
      <c r="B129" s="5">
        <v>462</v>
      </c>
      <c r="C129" s="5" t="s">
        <v>382</v>
      </c>
      <c r="D129" s="5" t="s">
        <v>53</v>
      </c>
      <c r="E129" s="5" t="s">
        <v>276</v>
      </c>
      <c r="F129" s="5">
        <v>3</v>
      </c>
      <c r="G129" s="5">
        <v>3</v>
      </c>
      <c r="H129" s="5">
        <v>3</v>
      </c>
      <c r="I129" s="5">
        <v>3</v>
      </c>
      <c r="J129" s="5">
        <v>3</v>
      </c>
      <c r="K129" s="5">
        <v>3</v>
      </c>
      <c r="L129" s="5">
        <v>3</v>
      </c>
      <c r="M129" s="5" t="s">
        <v>55</v>
      </c>
      <c r="N129" s="5" t="s">
        <v>383</v>
      </c>
      <c r="O129" s="5" t="s">
        <v>384</v>
      </c>
    </row>
    <row r="130" spans="1:15" ht="22.5" hidden="1" customHeight="1" x14ac:dyDescent="0.25">
      <c r="A130" s="4">
        <v>46093.758686770831</v>
      </c>
      <c r="B130" s="7" t="s">
        <v>385</v>
      </c>
      <c r="C130" s="5" t="s">
        <v>386</v>
      </c>
      <c r="D130" s="5" t="s">
        <v>53</v>
      </c>
      <c r="E130" s="5" t="s">
        <v>276</v>
      </c>
      <c r="F130" s="5">
        <v>4</v>
      </c>
      <c r="G130" s="5">
        <v>4</v>
      </c>
      <c r="H130" s="5">
        <v>4</v>
      </c>
      <c r="I130" s="5">
        <v>4</v>
      </c>
      <c r="J130" s="5">
        <v>4</v>
      </c>
      <c r="K130" s="5">
        <v>4</v>
      </c>
      <c r="L130" s="5">
        <v>4</v>
      </c>
      <c r="M130" s="5" t="s">
        <v>19</v>
      </c>
      <c r="N130" s="5" t="s">
        <v>387</v>
      </c>
      <c r="O130" s="5" t="s">
        <v>388</v>
      </c>
    </row>
    <row r="131" spans="1:15" ht="22.5" hidden="1" customHeight="1" x14ac:dyDescent="0.25">
      <c r="A131" s="4">
        <v>46094.502563796297</v>
      </c>
      <c r="B131" s="5">
        <v>806</v>
      </c>
      <c r="C131" s="5" t="s">
        <v>389</v>
      </c>
      <c r="D131" s="5" t="s">
        <v>148</v>
      </c>
      <c r="E131" s="5" t="s">
        <v>390</v>
      </c>
      <c r="F131" s="5">
        <v>4</v>
      </c>
      <c r="G131" s="5">
        <v>4</v>
      </c>
      <c r="H131" s="5">
        <v>4</v>
      </c>
      <c r="I131" s="5">
        <v>4</v>
      </c>
      <c r="J131" s="5">
        <v>4</v>
      </c>
      <c r="K131" s="5">
        <v>4</v>
      </c>
      <c r="L131" s="5">
        <v>4</v>
      </c>
      <c r="M131" s="5" t="s">
        <v>19</v>
      </c>
      <c r="N131" s="5" t="s">
        <v>391</v>
      </c>
      <c r="O131" s="5" t="s">
        <v>392</v>
      </c>
    </row>
    <row r="132" spans="1:15" ht="22.5" hidden="1" customHeight="1" x14ac:dyDescent="0.25">
      <c r="A132" s="4">
        <v>46094.614601851848</v>
      </c>
      <c r="B132" s="5">
        <v>1151</v>
      </c>
      <c r="C132" s="5" t="s">
        <v>267</v>
      </c>
      <c r="D132" s="5" t="s">
        <v>148</v>
      </c>
      <c r="E132" s="5" t="s">
        <v>390</v>
      </c>
      <c r="F132" s="5">
        <v>3</v>
      </c>
      <c r="G132" s="5">
        <v>3</v>
      </c>
      <c r="H132" s="5">
        <v>4</v>
      </c>
      <c r="I132" s="5">
        <v>3</v>
      </c>
      <c r="J132" s="5">
        <v>3</v>
      </c>
      <c r="K132" s="5">
        <v>3</v>
      </c>
      <c r="L132" s="5">
        <v>3</v>
      </c>
      <c r="M132" s="5" t="s">
        <v>19</v>
      </c>
      <c r="N132" s="5" t="s">
        <v>393</v>
      </c>
      <c r="O132" s="5" t="s">
        <v>394</v>
      </c>
    </row>
    <row r="133" spans="1:15" ht="22.5" hidden="1" customHeight="1" x14ac:dyDescent="0.25">
      <c r="A133" s="4">
        <v>46105.478234965281</v>
      </c>
      <c r="B133" s="5">
        <v>908</v>
      </c>
      <c r="C133" s="5" t="s">
        <v>395</v>
      </c>
      <c r="D133" s="5" t="s">
        <v>117</v>
      </c>
      <c r="E133" s="5" t="s">
        <v>390</v>
      </c>
      <c r="F133" s="5">
        <v>3</v>
      </c>
      <c r="G133" s="5">
        <v>3</v>
      </c>
      <c r="H133" s="5">
        <v>3</v>
      </c>
      <c r="I133" s="5">
        <v>3</v>
      </c>
      <c r="J133" s="5">
        <v>3</v>
      </c>
      <c r="K133" s="5">
        <v>3</v>
      </c>
      <c r="L133" s="5">
        <v>3</v>
      </c>
      <c r="M133" s="5" t="s">
        <v>55</v>
      </c>
      <c r="N133" s="5" t="s">
        <v>396</v>
      </c>
      <c r="O133" s="5" t="s">
        <v>397</v>
      </c>
    </row>
    <row r="134" spans="1:15" ht="22.5" hidden="1" customHeight="1" x14ac:dyDescent="0.25">
      <c r="A134" s="4">
        <v>46107.688550648149</v>
      </c>
      <c r="B134" s="5">
        <v>561</v>
      </c>
      <c r="C134" s="5" t="s">
        <v>180</v>
      </c>
      <c r="D134" s="5" t="s">
        <v>60</v>
      </c>
      <c r="E134" s="5" t="s">
        <v>276</v>
      </c>
      <c r="F134" s="5">
        <v>3</v>
      </c>
      <c r="G134" s="5">
        <v>4</v>
      </c>
      <c r="H134" s="5">
        <v>4</v>
      </c>
      <c r="I134" s="5">
        <v>4</v>
      </c>
      <c r="J134" s="5">
        <v>3</v>
      </c>
      <c r="K134" s="5">
        <v>4</v>
      </c>
      <c r="L134" s="5">
        <v>4</v>
      </c>
      <c r="M134" s="5" t="s">
        <v>19</v>
      </c>
      <c r="N134" s="5" t="s">
        <v>398</v>
      </c>
      <c r="O134" s="5" t="s">
        <v>399</v>
      </c>
    </row>
    <row r="135" spans="1:15" ht="22.5" hidden="1" customHeight="1" x14ac:dyDescent="0.25">
      <c r="A135" s="4">
        <v>46112.458866377317</v>
      </c>
      <c r="B135" s="7" t="s">
        <v>400</v>
      </c>
      <c r="C135" s="5" t="s">
        <v>401</v>
      </c>
      <c r="D135" s="5" t="s">
        <v>117</v>
      </c>
      <c r="E135" s="5" t="s">
        <v>390</v>
      </c>
      <c r="F135" s="5">
        <v>3</v>
      </c>
      <c r="G135" s="5">
        <v>3</v>
      </c>
      <c r="H135" s="5">
        <v>3</v>
      </c>
      <c r="I135" s="5">
        <v>4</v>
      </c>
      <c r="J135" s="5">
        <v>2</v>
      </c>
      <c r="K135" s="5">
        <v>3</v>
      </c>
      <c r="L135" s="5">
        <v>3</v>
      </c>
      <c r="M135" s="5" t="s">
        <v>19</v>
      </c>
      <c r="N135" s="5" t="s">
        <v>402</v>
      </c>
      <c r="O135" s="5" t="s">
        <v>157</v>
      </c>
    </row>
    <row r="136" spans="1:15" ht="22.5" hidden="1" customHeight="1" x14ac:dyDescent="0.25">
      <c r="A136" s="4">
        <v>46112.604223715272</v>
      </c>
      <c r="B136" s="5">
        <v>404</v>
      </c>
      <c r="C136" s="5" t="s">
        <v>403</v>
      </c>
      <c r="D136" s="5" t="s">
        <v>117</v>
      </c>
      <c r="E136" s="5" t="s">
        <v>390</v>
      </c>
      <c r="F136" s="5">
        <v>2</v>
      </c>
      <c r="G136" s="5">
        <v>4</v>
      </c>
      <c r="H136" s="5">
        <v>4</v>
      </c>
      <c r="I136" s="5">
        <v>4</v>
      </c>
      <c r="J136" s="5">
        <v>4</v>
      </c>
      <c r="K136" s="5">
        <v>3</v>
      </c>
      <c r="L136" s="5">
        <v>4</v>
      </c>
      <c r="M136" s="5" t="s">
        <v>19</v>
      </c>
      <c r="N136" s="5" t="s">
        <v>404</v>
      </c>
      <c r="O136" s="5" t="s">
        <v>229</v>
      </c>
    </row>
    <row r="137" spans="1:15" ht="22.5" hidden="1" customHeight="1" x14ac:dyDescent="0.25">
      <c r="A137" s="4">
        <v>46114.365815740741</v>
      </c>
      <c r="B137" s="5">
        <v>1035</v>
      </c>
      <c r="C137" s="5" t="s">
        <v>405</v>
      </c>
      <c r="D137" s="5" t="s">
        <v>53</v>
      </c>
      <c r="E137" s="5" t="s">
        <v>276</v>
      </c>
      <c r="F137" s="5">
        <v>4</v>
      </c>
      <c r="G137" s="5">
        <v>4</v>
      </c>
      <c r="H137" s="5">
        <v>4</v>
      </c>
      <c r="I137" s="5">
        <v>4</v>
      </c>
      <c r="J137" s="5">
        <v>4</v>
      </c>
      <c r="K137" s="5">
        <v>4</v>
      </c>
      <c r="L137" s="5">
        <v>4</v>
      </c>
      <c r="M137" s="5" t="s">
        <v>19</v>
      </c>
      <c r="N137" s="5" t="s">
        <v>406</v>
      </c>
      <c r="O137" s="5" t="s">
        <v>407</v>
      </c>
    </row>
    <row r="138" spans="1:15" ht="13.2" x14ac:dyDescent="0.25">
      <c r="N138" s="3"/>
      <c r="O138" s="3"/>
    </row>
    <row r="139" spans="1:15" ht="13.2" x14ac:dyDescent="0.25">
      <c r="N139" s="3"/>
      <c r="O139" s="3"/>
    </row>
    <row r="140" spans="1:15" ht="13.2" x14ac:dyDescent="0.25">
      <c r="N140" s="3"/>
      <c r="O140" s="3"/>
    </row>
    <row r="141" spans="1:15" ht="13.2" x14ac:dyDescent="0.25">
      <c r="N141" s="3"/>
      <c r="O141" s="3"/>
    </row>
    <row r="142" spans="1:15" ht="13.2" x14ac:dyDescent="0.25">
      <c r="N142" s="3"/>
      <c r="O142" s="3"/>
    </row>
    <row r="143" spans="1:15" ht="13.2" x14ac:dyDescent="0.25">
      <c r="N143" s="3"/>
      <c r="O143" s="3"/>
    </row>
    <row r="144" spans="1:15" ht="13.2" x14ac:dyDescent="0.25">
      <c r="N144" s="3"/>
      <c r="O144" s="3"/>
    </row>
    <row r="145" spans="14:15" ht="13.2" x14ac:dyDescent="0.25">
      <c r="N145" s="3"/>
      <c r="O145" s="3"/>
    </row>
    <row r="146" spans="14:15" ht="13.2" x14ac:dyDescent="0.25">
      <c r="N146" s="3"/>
      <c r="O146" s="3"/>
    </row>
    <row r="147" spans="14:15" ht="13.2" x14ac:dyDescent="0.25">
      <c r="N147" s="3"/>
      <c r="O147" s="3"/>
    </row>
    <row r="148" spans="14:15" ht="13.2" x14ac:dyDescent="0.25">
      <c r="N148" s="3"/>
      <c r="O148" s="3"/>
    </row>
    <row r="149" spans="14:15" ht="13.2" x14ac:dyDescent="0.25">
      <c r="N149" s="3"/>
      <c r="O149" s="3"/>
    </row>
    <row r="150" spans="14:15" ht="13.2" x14ac:dyDescent="0.25">
      <c r="N150" s="3"/>
      <c r="O150" s="3"/>
    </row>
    <row r="151" spans="14:15" ht="13.2" x14ac:dyDescent="0.25">
      <c r="N151" s="3"/>
      <c r="O151" s="3"/>
    </row>
    <row r="152" spans="14:15" ht="13.2" x14ac:dyDescent="0.25">
      <c r="N152" s="3"/>
      <c r="O152" s="3"/>
    </row>
    <row r="153" spans="14:15" ht="13.2" x14ac:dyDescent="0.25">
      <c r="N153" s="3"/>
      <c r="O153" s="3"/>
    </row>
    <row r="154" spans="14:15" ht="13.2" x14ac:dyDescent="0.25">
      <c r="N154" s="3"/>
      <c r="O154" s="3"/>
    </row>
    <row r="155" spans="14:15" ht="13.2" x14ac:dyDescent="0.25">
      <c r="N155" s="3"/>
      <c r="O155" s="3"/>
    </row>
    <row r="156" spans="14:15" ht="13.2" x14ac:dyDescent="0.25">
      <c r="N156" s="3"/>
      <c r="O156" s="3"/>
    </row>
    <row r="157" spans="14:15" ht="13.2" x14ac:dyDescent="0.25">
      <c r="N157" s="3"/>
      <c r="O157" s="3"/>
    </row>
    <row r="158" spans="14:15" ht="13.2" x14ac:dyDescent="0.25">
      <c r="N158" s="3"/>
      <c r="O158" s="3"/>
    </row>
    <row r="159" spans="14:15" ht="13.2" x14ac:dyDescent="0.25">
      <c r="N159" s="3"/>
      <c r="O159" s="3"/>
    </row>
    <row r="160" spans="14:15" ht="13.2" x14ac:dyDescent="0.25">
      <c r="N160" s="3"/>
      <c r="O160" s="3"/>
    </row>
    <row r="161" spans="14:15" ht="13.2" x14ac:dyDescent="0.25">
      <c r="N161" s="3"/>
      <c r="O161" s="3"/>
    </row>
    <row r="162" spans="14:15" ht="13.2" x14ac:dyDescent="0.25">
      <c r="N162" s="3"/>
      <c r="O162" s="3"/>
    </row>
    <row r="163" spans="14:15" ht="13.2" x14ac:dyDescent="0.25">
      <c r="N163" s="3"/>
      <c r="O163" s="3"/>
    </row>
    <row r="164" spans="14:15" ht="13.2" x14ac:dyDescent="0.25">
      <c r="N164" s="3"/>
      <c r="O164" s="3"/>
    </row>
    <row r="165" spans="14:15" ht="13.2" x14ac:dyDescent="0.25">
      <c r="N165" s="3"/>
      <c r="O165" s="3"/>
    </row>
    <row r="166" spans="14:15" ht="13.2" x14ac:dyDescent="0.25">
      <c r="N166" s="3"/>
      <c r="O166" s="3"/>
    </row>
    <row r="167" spans="14:15" ht="13.2" x14ac:dyDescent="0.25">
      <c r="N167" s="3"/>
      <c r="O167" s="3"/>
    </row>
    <row r="168" spans="14:15" ht="13.2" x14ac:dyDescent="0.25">
      <c r="N168" s="3"/>
      <c r="O168" s="3"/>
    </row>
    <row r="169" spans="14:15" ht="13.2" x14ac:dyDescent="0.25">
      <c r="N169" s="3"/>
      <c r="O169" s="3"/>
    </row>
    <row r="170" spans="14:15" ht="13.2" x14ac:dyDescent="0.25">
      <c r="N170" s="3"/>
      <c r="O170" s="3"/>
    </row>
    <row r="171" spans="14:15" ht="13.2" x14ac:dyDescent="0.25">
      <c r="N171" s="3"/>
      <c r="O171" s="3"/>
    </row>
    <row r="172" spans="14:15" ht="13.2" x14ac:dyDescent="0.25">
      <c r="N172" s="3"/>
      <c r="O172" s="3"/>
    </row>
    <row r="173" spans="14:15" ht="13.2" x14ac:dyDescent="0.25">
      <c r="N173" s="3"/>
      <c r="O173" s="3"/>
    </row>
    <row r="174" spans="14:15" ht="13.2" x14ac:dyDescent="0.25">
      <c r="N174" s="3"/>
      <c r="O174" s="3"/>
    </row>
    <row r="175" spans="14:15" ht="13.2" x14ac:dyDescent="0.25">
      <c r="N175" s="3"/>
      <c r="O175" s="3"/>
    </row>
    <row r="176" spans="14:15" ht="13.2" x14ac:dyDescent="0.25">
      <c r="N176" s="3"/>
      <c r="O176" s="3"/>
    </row>
    <row r="177" spans="14:15" ht="13.2" x14ac:dyDescent="0.25">
      <c r="N177" s="3"/>
      <c r="O177" s="3"/>
    </row>
    <row r="178" spans="14:15" ht="13.2" x14ac:dyDescent="0.25">
      <c r="N178" s="3"/>
      <c r="O178" s="3"/>
    </row>
    <row r="179" spans="14:15" ht="13.2" x14ac:dyDescent="0.25">
      <c r="N179" s="3"/>
      <c r="O179" s="3"/>
    </row>
    <row r="180" spans="14:15" ht="13.2" x14ac:dyDescent="0.25">
      <c r="N180" s="3"/>
      <c r="O180" s="3"/>
    </row>
    <row r="181" spans="14:15" ht="13.2" x14ac:dyDescent="0.25">
      <c r="N181" s="3"/>
      <c r="O181" s="3"/>
    </row>
    <row r="182" spans="14:15" ht="13.2" x14ac:dyDescent="0.25">
      <c r="N182" s="3"/>
      <c r="O182" s="3"/>
    </row>
    <row r="183" spans="14:15" ht="13.2" x14ac:dyDescent="0.25">
      <c r="N183" s="3"/>
      <c r="O183" s="3"/>
    </row>
    <row r="184" spans="14:15" ht="13.2" x14ac:dyDescent="0.25">
      <c r="N184" s="3"/>
      <c r="O184" s="3"/>
    </row>
    <row r="185" spans="14:15" ht="13.2" x14ac:dyDescent="0.25">
      <c r="N185" s="3"/>
      <c r="O185" s="3"/>
    </row>
    <row r="186" spans="14:15" ht="13.2" x14ac:dyDescent="0.25">
      <c r="N186" s="3"/>
      <c r="O186" s="3"/>
    </row>
    <row r="187" spans="14:15" ht="13.2" x14ac:dyDescent="0.25">
      <c r="N187" s="3"/>
      <c r="O187" s="3"/>
    </row>
    <row r="188" spans="14:15" ht="13.2" x14ac:dyDescent="0.25">
      <c r="N188" s="3"/>
      <c r="O188" s="3"/>
    </row>
    <row r="189" spans="14:15" ht="13.2" x14ac:dyDescent="0.25">
      <c r="N189" s="3"/>
      <c r="O189" s="3"/>
    </row>
    <row r="190" spans="14:15" ht="13.2" x14ac:dyDescent="0.25">
      <c r="N190" s="3"/>
      <c r="O190" s="3"/>
    </row>
    <row r="191" spans="14:15" ht="13.2" x14ac:dyDescent="0.25">
      <c r="N191" s="3"/>
      <c r="O191" s="3"/>
    </row>
    <row r="192" spans="14:15" ht="13.2" x14ac:dyDescent="0.25">
      <c r="N192" s="3"/>
      <c r="O192" s="3"/>
    </row>
    <row r="193" spans="14:15" ht="13.2" x14ac:dyDescent="0.25">
      <c r="N193" s="3"/>
      <c r="O193" s="3"/>
    </row>
    <row r="194" spans="14:15" ht="13.2" x14ac:dyDescent="0.25">
      <c r="N194" s="3"/>
      <c r="O194" s="3"/>
    </row>
    <row r="195" spans="14:15" ht="13.2" x14ac:dyDescent="0.25">
      <c r="N195" s="3"/>
      <c r="O195" s="3"/>
    </row>
    <row r="196" spans="14:15" ht="13.2" x14ac:dyDescent="0.25">
      <c r="N196" s="3"/>
      <c r="O196" s="3"/>
    </row>
    <row r="197" spans="14:15" ht="13.2" x14ac:dyDescent="0.25">
      <c r="N197" s="3"/>
      <c r="O197" s="3"/>
    </row>
    <row r="198" spans="14:15" ht="13.2" x14ac:dyDescent="0.25">
      <c r="N198" s="3"/>
      <c r="O198" s="3"/>
    </row>
    <row r="199" spans="14:15" ht="13.2" x14ac:dyDescent="0.25">
      <c r="N199" s="3"/>
      <c r="O199" s="3"/>
    </row>
    <row r="200" spans="14:15" ht="13.2" x14ac:dyDescent="0.25">
      <c r="N200" s="3"/>
      <c r="O200" s="3"/>
    </row>
    <row r="201" spans="14:15" ht="13.2" x14ac:dyDescent="0.25">
      <c r="N201" s="3"/>
      <c r="O201" s="3"/>
    </row>
    <row r="202" spans="14:15" ht="13.2" x14ac:dyDescent="0.25">
      <c r="N202" s="3"/>
      <c r="O202" s="3"/>
    </row>
    <row r="203" spans="14:15" ht="13.2" x14ac:dyDescent="0.25">
      <c r="N203" s="3"/>
      <c r="O203" s="3"/>
    </row>
    <row r="204" spans="14:15" ht="13.2" x14ac:dyDescent="0.25">
      <c r="N204" s="3"/>
      <c r="O204" s="3"/>
    </row>
    <row r="205" spans="14:15" ht="13.2" x14ac:dyDescent="0.25">
      <c r="N205" s="3"/>
      <c r="O205" s="3"/>
    </row>
    <row r="206" spans="14:15" ht="13.2" x14ac:dyDescent="0.25">
      <c r="N206" s="3"/>
      <c r="O206" s="3"/>
    </row>
    <row r="207" spans="14:15" ht="13.2" x14ac:dyDescent="0.25">
      <c r="N207" s="3"/>
      <c r="O207" s="3"/>
    </row>
    <row r="208" spans="14:15" ht="13.2" x14ac:dyDescent="0.25">
      <c r="N208" s="3"/>
      <c r="O208" s="3"/>
    </row>
    <row r="209" spans="14:15" ht="13.2" x14ac:dyDescent="0.25">
      <c r="N209" s="3"/>
      <c r="O209" s="3"/>
    </row>
    <row r="210" spans="14:15" ht="13.2" x14ac:dyDescent="0.25">
      <c r="N210" s="3"/>
      <c r="O210" s="3"/>
    </row>
    <row r="211" spans="14:15" ht="13.2" x14ac:dyDescent="0.25">
      <c r="N211" s="3"/>
      <c r="O211" s="3"/>
    </row>
    <row r="212" spans="14:15" ht="13.2" x14ac:dyDescent="0.25">
      <c r="N212" s="3"/>
      <c r="O212" s="3"/>
    </row>
    <row r="213" spans="14:15" ht="13.2" x14ac:dyDescent="0.25">
      <c r="N213" s="3"/>
      <c r="O213" s="3"/>
    </row>
    <row r="214" spans="14:15" ht="13.2" x14ac:dyDescent="0.25">
      <c r="N214" s="3"/>
      <c r="O214" s="3"/>
    </row>
    <row r="215" spans="14:15" ht="13.2" x14ac:dyDescent="0.25">
      <c r="N215" s="3"/>
      <c r="O215" s="3"/>
    </row>
    <row r="216" spans="14:15" ht="13.2" x14ac:dyDescent="0.25">
      <c r="N216" s="3"/>
      <c r="O216" s="3"/>
    </row>
    <row r="217" spans="14:15" ht="13.2" x14ac:dyDescent="0.25">
      <c r="N217" s="3"/>
      <c r="O217" s="3"/>
    </row>
    <row r="218" spans="14:15" ht="13.2" x14ac:dyDescent="0.25">
      <c r="N218" s="3"/>
      <c r="O218" s="3"/>
    </row>
    <row r="219" spans="14:15" ht="13.2" x14ac:dyDescent="0.25">
      <c r="N219" s="3"/>
      <c r="O219" s="3"/>
    </row>
    <row r="220" spans="14:15" ht="13.2" x14ac:dyDescent="0.25">
      <c r="N220" s="3"/>
      <c r="O220" s="3"/>
    </row>
    <row r="221" spans="14:15" ht="13.2" x14ac:dyDescent="0.25">
      <c r="N221" s="3"/>
      <c r="O221" s="3"/>
    </row>
    <row r="222" spans="14:15" ht="13.2" x14ac:dyDescent="0.25">
      <c r="N222" s="3"/>
      <c r="O222" s="3"/>
    </row>
    <row r="223" spans="14:15" ht="13.2" x14ac:dyDescent="0.25">
      <c r="N223" s="3"/>
      <c r="O223" s="3"/>
    </row>
    <row r="224" spans="14:15" ht="13.2" x14ac:dyDescent="0.25">
      <c r="N224" s="3"/>
      <c r="O224" s="3"/>
    </row>
    <row r="225" spans="14:15" ht="13.2" x14ac:dyDescent="0.25">
      <c r="N225" s="3"/>
      <c r="O225" s="3"/>
    </row>
    <row r="226" spans="14:15" ht="13.2" x14ac:dyDescent="0.25">
      <c r="N226" s="3"/>
      <c r="O226" s="3"/>
    </row>
    <row r="227" spans="14:15" ht="13.2" x14ac:dyDescent="0.25">
      <c r="N227" s="3"/>
      <c r="O227" s="3"/>
    </row>
    <row r="228" spans="14:15" ht="13.2" x14ac:dyDescent="0.25">
      <c r="N228" s="3"/>
      <c r="O228" s="3"/>
    </row>
    <row r="229" spans="14:15" ht="13.2" x14ac:dyDescent="0.25">
      <c r="N229" s="3"/>
      <c r="O229" s="3"/>
    </row>
    <row r="230" spans="14:15" ht="13.2" x14ac:dyDescent="0.25">
      <c r="N230" s="3"/>
      <c r="O230" s="3"/>
    </row>
    <row r="231" spans="14:15" ht="13.2" x14ac:dyDescent="0.25">
      <c r="N231" s="3"/>
      <c r="O231" s="3"/>
    </row>
    <row r="232" spans="14:15" ht="13.2" x14ac:dyDescent="0.25">
      <c r="N232" s="3"/>
      <c r="O232" s="3"/>
    </row>
    <row r="233" spans="14:15" ht="13.2" x14ac:dyDescent="0.25">
      <c r="N233" s="3"/>
      <c r="O233" s="3"/>
    </row>
    <row r="234" spans="14:15" ht="13.2" x14ac:dyDescent="0.25">
      <c r="N234" s="3"/>
      <c r="O234" s="3"/>
    </row>
    <row r="235" spans="14:15" ht="13.2" x14ac:dyDescent="0.25">
      <c r="N235" s="3"/>
      <c r="O235" s="3"/>
    </row>
    <row r="236" spans="14:15" ht="13.2" x14ac:dyDescent="0.25">
      <c r="N236" s="3"/>
      <c r="O236" s="3"/>
    </row>
    <row r="237" spans="14:15" ht="13.2" x14ac:dyDescent="0.25">
      <c r="N237" s="3"/>
      <c r="O237" s="3"/>
    </row>
  </sheetData>
  <phoneticPr fontId="5"/>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7"/>
  <sheetViews>
    <sheetView showGridLines="0" workbookViewId="0">
      <selection sqref="A1:B1"/>
    </sheetView>
  </sheetViews>
  <sheetFormatPr defaultColWidth="12.6640625" defaultRowHeight="15.75" customHeight="1" x14ac:dyDescent="0.25"/>
  <cols>
    <col min="1" max="1" width="39.6640625" customWidth="1"/>
    <col min="7" max="7" width="39.6640625" customWidth="1"/>
  </cols>
  <sheetData>
    <row r="1" spans="1:11" ht="13.2" x14ac:dyDescent="0.25">
      <c r="A1" s="35" t="s">
        <v>15</v>
      </c>
      <c r="B1" s="34" t="s">
        <v>20</v>
      </c>
    </row>
    <row r="2" spans="1:11" ht="13.2" x14ac:dyDescent="0.25">
      <c r="G2" s="8" t="s">
        <v>408</v>
      </c>
      <c r="H2" s="8" t="s">
        <v>410</v>
      </c>
      <c r="I2" s="8" t="s">
        <v>411</v>
      </c>
      <c r="J2" s="8" t="s">
        <v>412</v>
      </c>
      <c r="K2" s="8" t="s">
        <v>409</v>
      </c>
    </row>
    <row r="3" spans="1:11" ht="13.2" x14ac:dyDescent="0.25">
      <c r="A3" s="26" t="s">
        <v>425</v>
      </c>
      <c r="B3" s="26" t="s">
        <v>6</v>
      </c>
      <c r="C3" s="27"/>
      <c r="D3" s="27"/>
      <c r="E3" s="28"/>
      <c r="G3" s="8" t="s">
        <v>69</v>
      </c>
      <c r="I3" s="8">
        <v>3</v>
      </c>
      <c r="J3" s="8">
        <v>3</v>
      </c>
      <c r="K3" s="8">
        <v>6</v>
      </c>
    </row>
    <row r="4" spans="1:11" ht="13.2" x14ac:dyDescent="0.25">
      <c r="A4" s="26" t="s">
        <v>408</v>
      </c>
      <c r="B4" s="29">
        <v>2</v>
      </c>
      <c r="C4" s="30">
        <v>3</v>
      </c>
      <c r="D4" s="30">
        <v>4</v>
      </c>
      <c r="E4" s="31" t="s">
        <v>409</v>
      </c>
      <c r="G4" s="8" t="s">
        <v>111</v>
      </c>
      <c r="I4" s="8">
        <v>4</v>
      </c>
      <c r="J4" s="8">
        <v>6</v>
      </c>
      <c r="K4" s="8">
        <v>10</v>
      </c>
    </row>
    <row r="5" spans="1:11" ht="13.2" x14ac:dyDescent="0.25">
      <c r="A5" s="29" t="s">
        <v>69</v>
      </c>
      <c r="B5" s="40"/>
      <c r="C5" s="41">
        <v>3</v>
      </c>
      <c r="D5" s="41">
        <v>3</v>
      </c>
      <c r="E5" s="42">
        <v>6</v>
      </c>
      <c r="G5" s="8" t="s">
        <v>148</v>
      </c>
      <c r="H5" s="8">
        <v>2</v>
      </c>
      <c r="I5" s="8">
        <v>1</v>
      </c>
      <c r="K5" s="8">
        <v>3</v>
      </c>
    </row>
    <row r="6" spans="1:11" ht="13.2" x14ac:dyDescent="0.25">
      <c r="A6" s="32" t="s">
        <v>111</v>
      </c>
      <c r="B6" s="43"/>
      <c r="C6" s="44">
        <v>4</v>
      </c>
      <c r="D6" s="44">
        <v>6</v>
      </c>
      <c r="E6" s="45">
        <v>10</v>
      </c>
      <c r="G6" s="8" t="s">
        <v>117</v>
      </c>
      <c r="J6" s="8">
        <v>3</v>
      </c>
      <c r="K6" s="8">
        <v>3</v>
      </c>
    </row>
    <row r="7" spans="1:11" ht="13.2" x14ac:dyDescent="0.25">
      <c r="A7" s="32" t="s">
        <v>148</v>
      </c>
      <c r="B7" s="43">
        <v>2</v>
      </c>
      <c r="C7" s="44">
        <v>1</v>
      </c>
      <c r="D7" s="44"/>
      <c r="E7" s="45">
        <v>3</v>
      </c>
      <c r="G7" s="8" t="s">
        <v>75</v>
      </c>
      <c r="H7" s="8">
        <v>1</v>
      </c>
      <c r="I7" s="8">
        <v>4</v>
      </c>
      <c r="J7" s="8">
        <v>7</v>
      </c>
      <c r="K7" s="8">
        <v>12</v>
      </c>
    </row>
    <row r="8" spans="1:11" ht="13.2" x14ac:dyDescent="0.25">
      <c r="A8" s="32" t="s">
        <v>117</v>
      </c>
      <c r="B8" s="43"/>
      <c r="C8" s="44"/>
      <c r="D8" s="44">
        <v>3</v>
      </c>
      <c r="E8" s="45">
        <v>3</v>
      </c>
      <c r="G8" s="8" t="s">
        <v>173</v>
      </c>
      <c r="I8" s="8">
        <v>1</v>
      </c>
      <c r="J8" s="8">
        <v>1</v>
      </c>
      <c r="K8" s="8">
        <v>2</v>
      </c>
    </row>
    <row r="9" spans="1:11" ht="13.2" x14ac:dyDescent="0.25">
      <c r="A9" s="32" t="s">
        <v>75</v>
      </c>
      <c r="B9" s="43">
        <v>1</v>
      </c>
      <c r="C9" s="44">
        <v>4</v>
      </c>
      <c r="D9" s="44">
        <v>7</v>
      </c>
      <c r="E9" s="45">
        <v>12</v>
      </c>
      <c r="G9" s="8" t="s">
        <v>168</v>
      </c>
      <c r="J9" s="8">
        <v>1</v>
      </c>
      <c r="K9" s="8">
        <v>1</v>
      </c>
    </row>
    <row r="10" spans="1:11" ht="13.2" x14ac:dyDescent="0.25">
      <c r="A10" s="32" t="s">
        <v>173</v>
      </c>
      <c r="B10" s="43"/>
      <c r="C10" s="44">
        <v>1</v>
      </c>
      <c r="D10" s="44">
        <v>1</v>
      </c>
      <c r="E10" s="45">
        <v>2</v>
      </c>
      <c r="G10" s="8" t="s">
        <v>17</v>
      </c>
      <c r="I10" s="8">
        <v>6</v>
      </c>
      <c r="J10" s="8">
        <v>21</v>
      </c>
      <c r="K10" s="8">
        <v>27</v>
      </c>
    </row>
    <row r="11" spans="1:11" ht="13.2" x14ac:dyDescent="0.25">
      <c r="A11" s="32" t="s">
        <v>168</v>
      </c>
      <c r="B11" s="43"/>
      <c r="C11" s="44"/>
      <c r="D11" s="44">
        <v>1</v>
      </c>
      <c r="E11" s="45">
        <v>1</v>
      </c>
      <c r="G11" s="8" t="s">
        <v>53</v>
      </c>
      <c r="I11" s="8">
        <v>5</v>
      </c>
      <c r="J11" s="8">
        <v>1</v>
      </c>
      <c r="K11" s="8">
        <v>6</v>
      </c>
    </row>
    <row r="12" spans="1:11" ht="13.2" x14ac:dyDescent="0.25">
      <c r="A12" s="32" t="s">
        <v>17</v>
      </c>
      <c r="B12" s="43"/>
      <c r="C12" s="44">
        <v>6</v>
      </c>
      <c r="D12" s="44">
        <v>21</v>
      </c>
      <c r="E12" s="45">
        <v>27</v>
      </c>
      <c r="G12" s="8" t="s">
        <v>60</v>
      </c>
      <c r="H12" s="8">
        <v>1</v>
      </c>
      <c r="I12" s="8">
        <v>4</v>
      </c>
      <c r="J12" s="8">
        <v>7</v>
      </c>
      <c r="K12" s="8">
        <v>12</v>
      </c>
    </row>
    <row r="13" spans="1:11" ht="13.2" x14ac:dyDescent="0.25">
      <c r="A13" s="32" t="s">
        <v>53</v>
      </c>
      <c r="B13" s="43"/>
      <c r="C13" s="44">
        <v>5</v>
      </c>
      <c r="D13" s="44">
        <v>1</v>
      </c>
      <c r="E13" s="45">
        <v>6</v>
      </c>
      <c r="G13" s="8" t="s">
        <v>164</v>
      </c>
      <c r="I13" s="8">
        <v>2</v>
      </c>
      <c r="J13" s="8">
        <v>2</v>
      </c>
      <c r="K13" s="8">
        <v>4</v>
      </c>
    </row>
    <row r="14" spans="1:11" ht="13.2" x14ac:dyDescent="0.25">
      <c r="A14" s="32" t="s">
        <v>60</v>
      </c>
      <c r="B14" s="43">
        <v>1</v>
      </c>
      <c r="C14" s="44">
        <v>4</v>
      </c>
      <c r="D14" s="44">
        <v>7</v>
      </c>
      <c r="E14" s="45">
        <v>12</v>
      </c>
      <c r="G14" s="8" t="s">
        <v>159</v>
      </c>
      <c r="J14" s="8">
        <v>1</v>
      </c>
      <c r="K14" s="8">
        <v>1</v>
      </c>
    </row>
    <row r="15" spans="1:11" ht="13.2" x14ac:dyDescent="0.25">
      <c r="A15" s="32" t="s">
        <v>164</v>
      </c>
      <c r="B15" s="43"/>
      <c r="C15" s="44">
        <v>2</v>
      </c>
      <c r="D15" s="44">
        <v>2</v>
      </c>
      <c r="E15" s="45">
        <v>4</v>
      </c>
      <c r="G15" s="8" t="s">
        <v>409</v>
      </c>
      <c r="H15" s="8">
        <v>4</v>
      </c>
      <c r="I15" s="8">
        <v>30</v>
      </c>
      <c r="J15" s="8">
        <v>53</v>
      </c>
      <c r="K15" s="8">
        <v>87</v>
      </c>
    </row>
    <row r="16" spans="1:11" ht="15.75" customHeight="1" x14ac:dyDescent="0.25">
      <c r="A16" s="32" t="s">
        <v>159</v>
      </c>
      <c r="B16" s="43"/>
      <c r="C16" s="44"/>
      <c r="D16" s="44">
        <v>1</v>
      </c>
      <c r="E16" s="45">
        <v>1</v>
      </c>
    </row>
    <row r="17" spans="1:5" ht="15.75" customHeight="1" x14ac:dyDescent="0.25">
      <c r="A17" s="33" t="s">
        <v>409</v>
      </c>
      <c r="B17" s="46">
        <v>4</v>
      </c>
      <c r="C17" s="47">
        <v>30</v>
      </c>
      <c r="D17" s="47">
        <v>53</v>
      </c>
      <c r="E17" s="48">
        <v>87</v>
      </c>
    </row>
  </sheetData>
  <phoneticPr fontId="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974"/>
  <sheetViews>
    <sheetView workbookViewId="0">
      <pane ySplit="2" topLeftCell="A3" activePane="bottomLeft" state="frozen"/>
      <selection sqref="A1:B1"/>
      <selection pane="bottomLeft" sqref="A1:B1"/>
    </sheetView>
  </sheetViews>
  <sheetFormatPr defaultColWidth="12.6640625" defaultRowHeight="15.75" customHeight="1" x14ac:dyDescent="0.25"/>
  <cols>
    <col min="1" max="1" width="42.77734375" customWidth="1"/>
    <col min="2" max="7" width="13.88671875" customWidth="1"/>
  </cols>
  <sheetData>
    <row r="1" spans="1:7" ht="15.75" customHeight="1" x14ac:dyDescent="0.3">
      <c r="A1" s="36" t="s">
        <v>413</v>
      </c>
      <c r="B1" s="37"/>
      <c r="C1" s="38" t="s">
        <v>414</v>
      </c>
      <c r="D1" s="39"/>
      <c r="E1" s="39"/>
      <c r="F1" s="39"/>
      <c r="G1" s="39"/>
    </row>
    <row r="2" spans="1:7" ht="15.75" customHeight="1" x14ac:dyDescent="0.3">
      <c r="A2" s="9" t="s">
        <v>415</v>
      </c>
      <c r="B2" s="10" t="s">
        <v>416</v>
      </c>
      <c r="C2" s="10" t="s">
        <v>417</v>
      </c>
      <c r="D2" s="11" t="s">
        <v>418</v>
      </c>
      <c r="E2" s="11" t="s">
        <v>419</v>
      </c>
      <c r="F2" s="11" t="s">
        <v>420</v>
      </c>
      <c r="G2" s="12" t="s">
        <v>421</v>
      </c>
    </row>
    <row r="3" spans="1:7" ht="13.2" x14ac:dyDescent="0.25">
      <c r="A3" s="13" t="s">
        <v>17</v>
      </c>
      <c r="B3" s="14">
        <f>IFERROR(COUNTIF(中間データ!$D:$D, $A3), "")</f>
        <v>36</v>
      </c>
      <c r="C3" s="15">
        <f>IFERROR(AVERAGEIFS(中間データ!$F:$F, 中間データ!$D:$D, $A3), "")</f>
        <v>3.9166666666666665</v>
      </c>
      <c r="D3" s="16">
        <f>IFERROR(AVERAGEIFS(中間データ!$H:$H, 中間データ!$D:$D, $A3), "")</f>
        <v>3.9444444444444446</v>
      </c>
      <c r="E3" s="16">
        <f>IFERROR(AVERAGEIFS(中間データ!$G:$G, 中間データ!$D:$D, $A3), "")</f>
        <v>3.8055555555555554</v>
      </c>
      <c r="F3" s="16">
        <f>IFERROR(AVERAGEIFS(中間データ!$K:$K, 中間データ!$D:$D, $A3), "")</f>
        <v>3.8333333333333335</v>
      </c>
      <c r="G3" s="16">
        <f>IFERROR(AVERAGEIFS(中間データ!$J:$J, 中間データ!$D:$D, $A3), "")</f>
        <v>3.6388888888888888</v>
      </c>
    </row>
    <row r="4" spans="1:7" ht="13.2" x14ac:dyDescent="0.25">
      <c r="A4" s="13" t="s">
        <v>75</v>
      </c>
      <c r="B4" s="14">
        <f>IFERROR(COUNTIF(中間データ!$D:$D, $A4), "")</f>
        <v>12</v>
      </c>
      <c r="C4" s="15">
        <f>IFERROR(AVERAGEIFS(中間データ!$F:$F, 中間データ!$D:$D, $A4), "")</f>
        <v>3</v>
      </c>
      <c r="D4" s="16">
        <f>IFERROR(AVERAGEIFS(中間データ!$H:$H, 中間データ!$D:$D, $A4), "")</f>
        <v>3.25</v>
      </c>
      <c r="E4" s="16">
        <f>IFERROR(AVERAGEIFS(中間データ!$G:$G, 中間データ!$D:$D, $A4), "")</f>
        <v>3.5</v>
      </c>
      <c r="F4" s="16">
        <f>IFERROR(AVERAGEIFS(中間データ!$K:$K, 中間データ!$D:$D, $A4), "")</f>
        <v>3.1666666666666665</v>
      </c>
      <c r="G4" s="16">
        <f>IFERROR(AVERAGEIFS(中間データ!$J:$J, 中間データ!$D:$D, $A4), "")</f>
        <v>3</v>
      </c>
    </row>
    <row r="5" spans="1:7" ht="13.2" x14ac:dyDescent="0.25">
      <c r="A5" s="13" t="s">
        <v>173</v>
      </c>
      <c r="B5" s="14">
        <f>IFERROR(COUNTIF(中間データ!$D:$D, $A5), "")</f>
        <v>3</v>
      </c>
      <c r="C5" s="15">
        <f>IFERROR(AVERAGEIFS(中間データ!$F:$F, 中間データ!$D:$D, $A5), "")</f>
        <v>3.6666666666666665</v>
      </c>
      <c r="D5" s="16">
        <f>IFERROR(AVERAGEIFS(中間データ!$H:$H, 中間データ!$D:$D, $A5), "")</f>
        <v>3.6666666666666665</v>
      </c>
      <c r="E5" s="16">
        <f>IFERROR(AVERAGEIFS(中間データ!$G:$G, 中間データ!$D:$D, $A5), "")</f>
        <v>3.3333333333333335</v>
      </c>
      <c r="F5" s="16">
        <f>IFERROR(AVERAGEIFS(中間データ!$K:$K, 中間データ!$D:$D, $A5), "")</f>
        <v>3.6666666666666665</v>
      </c>
      <c r="G5" s="16">
        <f>IFERROR(AVERAGEIFS(中間データ!$J:$J, 中間データ!$D:$D, $A5), "")</f>
        <v>3</v>
      </c>
    </row>
    <row r="6" spans="1:7" ht="13.2" x14ac:dyDescent="0.25">
      <c r="A6" s="13" t="s">
        <v>168</v>
      </c>
      <c r="B6" s="14">
        <f>IFERROR(COUNTIF(中間データ!$D:$D, $A6), "")</f>
        <v>1</v>
      </c>
      <c r="C6" s="15">
        <f>IFERROR(AVERAGEIFS(中間データ!$F:$F, 中間データ!$D:$D, $A6), "")</f>
        <v>4</v>
      </c>
      <c r="D6" s="16">
        <f>IFERROR(AVERAGEIFS(中間データ!$H:$H, 中間データ!$D:$D, $A6), "")</f>
        <v>4</v>
      </c>
      <c r="E6" s="16">
        <f>IFERROR(AVERAGEIFS(中間データ!$G:$G, 中間データ!$D:$D, $A6), "")</f>
        <v>4</v>
      </c>
      <c r="F6" s="16">
        <f>IFERROR(AVERAGEIFS(中間データ!$K:$K, 中間データ!$D:$D, $A6), "")</f>
        <v>4</v>
      </c>
      <c r="G6" s="16">
        <f>IFERROR(AVERAGEIFS(中間データ!$J:$J, 中間データ!$D:$D, $A6), "")</f>
        <v>4</v>
      </c>
    </row>
    <row r="7" spans="1:7" ht="13.2" x14ac:dyDescent="0.25">
      <c r="A7" s="13" t="s">
        <v>272</v>
      </c>
      <c r="B7" s="14">
        <f>IFERROR(COUNTIF(中間データ!$D:$D, $A7), "")</f>
        <v>1</v>
      </c>
      <c r="C7" s="15">
        <f>IFERROR(AVERAGEIFS(中間データ!$F:$F, 中間データ!$D:$D, $A7), "")</f>
        <v>3</v>
      </c>
      <c r="D7" s="16">
        <f>IFERROR(AVERAGEIFS(中間データ!$H:$H, 中間データ!$D:$D, $A7), "")</f>
        <v>3</v>
      </c>
      <c r="E7" s="16">
        <f>IFERROR(AVERAGEIFS(中間データ!$G:$G, 中間データ!$D:$D, $A7), "")</f>
        <v>2</v>
      </c>
      <c r="F7" s="16">
        <f>IFERROR(AVERAGEIFS(中間データ!$K:$K, 中間データ!$D:$D, $A7), "")</f>
        <v>4</v>
      </c>
      <c r="G7" s="16">
        <f>IFERROR(AVERAGEIFS(中間データ!$J:$J, 中間データ!$D:$D, $A7), "")</f>
        <v>3</v>
      </c>
    </row>
    <row r="8" spans="1:7" ht="13.2" x14ac:dyDescent="0.25">
      <c r="A8" s="13" t="s">
        <v>422</v>
      </c>
      <c r="B8" s="14">
        <f>IFERROR(COUNTIF(中間データ!$D:$D, $A8), "")</f>
        <v>0</v>
      </c>
      <c r="C8" s="15" t="str">
        <f>IFERROR(AVERAGEIFS(中間データ!$F:$F, 中間データ!$D:$D, $A8), "")</f>
        <v/>
      </c>
      <c r="D8" s="16" t="str">
        <f>IFERROR(AVERAGEIFS(中間データ!$H:$H, 中間データ!$D:$D, $A8), "")</f>
        <v/>
      </c>
      <c r="E8" s="16" t="str">
        <f>IFERROR(AVERAGEIFS(中間データ!$G:$G, 中間データ!$D:$D, $A8), "")</f>
        <v/>
      </c>
      <c r="F8" s="16" t="str">
        <f>IFERROR(AVERAGEIFS(中間データ!$K:$K, 中間データ!$D:$D, $A8), "")</f>
        <v/>
      </c>
      <c r="G8" s="16" t="str">
        <f>IFERROR(AVERAGEIFS(中間データ!$J:$J, 中間データ!$D:$D, $A8), "")</f>
        <v/>
      </c>
    </row>
    <row r="9" spans="1:7" ht="13.2" x14ac:dyDescent="0.25">
      <c r="A9" s="13" t="s">
        <v>259</v>
      </c>
      <c r="B9" s="14">
        <f>IFERROR(COUNTIF(中間データ!$D:$D, $A9), "")</f>
        <v>1</v>
      </c>
      <c r="C9" s="15">
        <f>IFERROR(AVERAGEIFS(中間データ!$F:$F, 中間データ!$D:$D, $A9), "")</f>
        <v>4</v>
      </c>
      <c r="D9" s="16">
        <f>IFERROR(AVERAGEIFS(中間データ!$H:$H, 中間データ!$D:$D, $A9), "")</f>
        <v>4</v>
      </c>
      <c r="E9" s="16">
        <f>IFERROR(AVERAGEIFS(中間データ!$G:$G, 中間データ!$D:$D, $A9), "")</f>
        <v>3</v>
      </c>
      <c r="F9" s="16">
        <f>IFERROR(AVERAGEIFS(中間データ!$K:$K, 中間データ!$D:$D, $A9), "")</f>
        <v>4</v>
      </c>
      <c r="G9" s="16">
        <f>IFERROR(AVERAGEIFS(中間データ!$J:$J, 中間データ!$D:$D, $A9), "")</f>
        <v>4</v>
      </c>
    </row>
    <row r="10" spans="1:7" ht="13.2" x14ac:dyDescent="0.25">
      <c r="A10" s="13" t="s">
        <v>292</v>
      </c>
      <c r="B10" s="14">
        <f>IFERROR(COUNTIF(中間データ!$D:$D, $A10), "")</f>
        <v>1</v>
      </c>
      <c r="C10" s="15">
        <f>IFERROR(AVERAGEIFS(中間データ!$F:$F, 中間データ!$D:$D, $A10), "")</f>
        <v>3</v>
      </c>
      <c r="D10" s="16">
        <f>IFERROR(AVERAGEIFS(中間データ!$H:$H, 中間データ!$D:$D, $A10), "")</f>
        <v>3</v>
      </c>
      <c r="E10" s="16">
        <f>IFERROR(AVERAGEIFS(中間データ!$G:$G, 中間データ!$D:$D, $A10), "")</f>
        <v>4</v>
      </c>
      <c r="F10" s="16">
        <f>IFERROR(AVERAGEIFS(中間データ!$K:$K, 中間データ!$D:$D, $A10), "")</f>
        <v>4</v>
      </c>
      <c r="G10" s="16">
        <f>IFERROR(AVERAGEIFS(中間データ!$J:$J, 中間データ!$D:$D, $A10), "")</f>
        <v>3</v>
      </c>
    </row>
    <row r="11" spans="1:7" ht="13.2" x14ac:dyDescent="0.25">
      <c r="A11" s="13" t="s">
        <v>164</v>
      </c>
      <c r="B11" s="14">
        <f>IFERROR(COUNTIF(中間データ!$D:$D, $A11), "")</f>
        <v>5</v>
      </c>
      <c r="C11" s="15">
        <f>IFERROR(AVERAGEIFS(中間データ!$F:$F, 中間データ!$D:$D, $A11), "")</f>
        <v>3.4</v>
      </c>
      <c r="D11" s="16">
        <f>IFERROR(AVERAGEIFS(中間データ!$H:$H, 中間データ!$D:$D, $A11), "")</f>
        <v>3.8</v>
      </c>
      <c r="E11" s="16">
        <f>IFERROR(AVERAGEIFS(中間データ!$G:$G, 中間データ!$D:$D, $A11), "")</f>
        <v>3.4</v>
      </c>
      <c r="F11" s="16">
        <f>IFERROR(AVERAGEIFS(中間データ!$K:$K, 中間データ!$D:$D, $A11), "")</f>
        <v>3.8</v>
      </c>
      <c r="G11" s="16">
        <f>IFERROR(AVERAGEIFS(中間データ!$J:$J, 中間データ!$D:$D, $A11), "")</f>
        <v>3.8</v>
      </c>
    </row>
    <row r="12" spans="1:7" ht="13.2" x14ac:dyDescent="0.25">
      <c r="A12" s="13" t="s">
        <v>159</v>
      </c>
      <c r="B12" s="14">
        <f>IFERROR(COUNTIF(中間データ!$D:$D, $A12), "")</f>
        <v>2</v>
      </c>
      <c r="C12" s="15">
        <f>IFERROR(AVERAGEIFS(中間データ!$F:$F, 中間データ!$D:$D, $A12), "")</f>
        <v>2.5</v>
      </c>
      <c r="D12" s="16">
        <f>IFERROR(AVERAGEIFS(中間データ!$H:$H, 中間データ!$D:$D, $A12), "")</f>
        <v>2.5</v>
      </c>
      <c r="E12" s="16">
        <f>IFERROR(AVERAGEIFS(中間データ!$G:$G, 中間データ!$D:$D, $A12), "")</f>
        <v>3.5</v>
      </c>
      <c r="F12" s="16">
        <f>IFERROR(AVERAGEIFS(中間データ!$K:$K, 中間データ!$D:$D, $A12), "")</f>
        <v>2.5</v>
      </c>
      <c r="G12" s="16">
        <f>IFERROR(AVERAGEIFS(中間データ!$J:$J, 中間データ!$D:$D, $A12), "")</f>
        <v>3</v>
      </c>
    </row>
    <row r="13" spans="1:7" ht="13.2" x14ac:dyDescent="0.25">
      <c r="A13" s="13" t="s">
        <v>53</v>
      </c>
      <c r="B13" s="14">
        <f>IFERROR(COUNTIF(中間データ!$D:$D, $A13), "")</f>
        <v>12</v>
      </c>
      <c r="C13" s="15">
        <f>IFERROR(AVERAGEIFS(中間データ!$F:$F, 中間データ!$D:$D, $A13), "")</f>
        <v>3.25</v>
      </c>
      <c r="D13" s="16">
        <f>IFERROR(AVERAGEIFS(中間データ!$H:$H, 中間データ!$D:$D, $A13), "")</f>
        <v>3.5</v>
      </c>
      <c r="E13" s="16">
        <f>IFERROR(AVERAGEIFS(中間データ!$G:$G, 中間データ!$D:$D, $A13), "")</f>
        <v>3.4166666666666665</v>
      </c>
      <c r="F13" s="16">
        <f>IFERROR(AVERAGEIFS(中間データ!$K:$K, 中間データ!$D:$D, $A13), "")</f>
        <v>3.3333333333333335</v>
      </c>
      <c r="G13" s="16">
        <f>IFERROR(AVERAGEIFS(中間データ!$J:$J, 中間データ!$D:$D, $A13), "")</f>
        <v>2.9166666666666665</v>
      </c>
    </row>
    <row r="14" spans="1:7" ht="13.2" x14ac:dyDescent="0.25">
      <c r="A14" s="13" t="s">
        <v>60</v>
      </c>
      <c r="B14" s="14">
        <f>IFERROR(COUNTIF(中間データ!$D:$D, $A14), "")</f>
        <v>19</v>
      </c>
      <c r="C14" s="15">
        <f>IFERROR(AVERAGEIFS(中間データ!$F:$F, 中間データ!$D:$D, $A14), "")</f>
        <v>3.5789473684210527</v>
      </c>
      <c r="D14" s="16">
        <f>IFERROR(AVERAGEIFS(中間データ!$H:$H, 中間データ!$D:$D, $A14), "")</f>
        <v>3.6315789473684212</v>
      </c>
      <c r="E14" s="16">
        <f>IFERROR(AVERAGEIFS(中間データ!$G:$G, 中間データ!$D:$D, $A14), "")</f>
        <v>3.4210526315789473</v>
      </c>
      <c r="F14" s="16">
        <f>IFERROR(AVERAGEIFS(中間データ!$K:$K, 中間データ!$D:$D, $A14), "")</f>
        <v>3.4210526315789473</v>
      </c>
      <c r="G14" s="16">
        <f>IFERROR(AVERAGEIFS(中間データ!$J:$J, 中間データ!$D:$D, $A14), "")</f>
        <v>3.2105263157894739</v>
      </c>
    </row>
    <row r="15" spans="1:7" ht="13.2" x14ac:dyDescent="0.25">
      <c r="A15" s="13" t="s">
        <v>148</v>
      </c>
      <c r="B15" s="14">
        <f>IFERROR(COUNTIF(中間データ!$D:$D, $A15), "")</f>
        <v>7</v>
      </c>
      <c r="C15" s="15">
        <f>IFERROR(AVERAGEIFS(中間データ!$F:$F, 中間データ!$D:$D, $A15), "")</f>
        <v>3.1428571428571428</v>
      </c>
      <c r="D15" s="16">
        <f>IFERROR(AVERAGEIFS(中間データ!$H:$H, 中間データ!$D:$D, $A15), "")</f>
        <v>3.2857142857142856</v>
      </c>
      <c r="E15" s="16">
        <f>IFERROR(AVERAGEIFS(中間データ!$G:$G, 中間データ!$D:$D, $A15), "")</f>
        <v>2.8571428571428572</v>
      </c>
      <c r="F15" s="16">
        <f>IFERROR(AVERAGEIFS(中間データ!$K:$K, 中間データ!$D:$D, $A15), "")</f>
        <v>3.4285714285714284</v>
      </c>
      <c r="G15" s="16">
        <f>IFERROR(AVERAGEIFS(中間データ!$J:$J, 中間データ!$D:$D, $A15), "")</f>
        <v>2.2857142857142856</v>
      </c>
    </row>
    <row r="16" spans="1:7" ht="13.2" x14ac:dyDescent="0.25">
      <c r="A16" s="13" t="s">
        <v>117</v>
      </c>
      <c r="B16" s="14">
        <f>IFERROR(COUNTIF(中間データ!$D:$D, $A16), "")</f>
        <v>6</v>
      </c>
      <c r="C16" s="15">
        <f>IFERROR(AVERAGEIFS(中間データ!$F:$F, 中間データ!$D:$D, $A16), "")</f>
        <v>3.3333333333333335</v>
      </c>
      <c r="D16" s="16">
        <f>IFERROR(AVERAGEIFS(中間データ!$H:$H, 中間データ!$D:$D, $A16), "")</f>
        <v>3.5</v>
      </c>
      <c r="E16" s="16">
        <f>IFERROR(AVERAGEIFS(中間データ!$G:$G, 中間データ!$D:$D, $A16), "")</f>
        <v>3.6666666666666665</v>
      </c>
      <c r="F16" s="16">
        <f>IFERROR(AVERAGEIFS(中間データ!$K:$K, 中間データ!$D:$D, $A16), "")</f>
        <v>3.1666666666666665</v>
      </c>
      <c r="G16" s="16">
        <f>IFERROR(AVERAGEIFS(中間データ!$J:$J, 中間データ!$D:$D, $A16), "")</f>
        <v>3.1666666666666665</v>
      </c>
    </row>
    <row r="17" spans="1:7" ht="13.2" x14ac:dyDescent="0.25">
      <c r="A17" s="13" t="s">
        <v>69</v>
      </c>
      <c r="B17" s="14">
        <f>IFERROR(COUNTIF(中間データ!$D:$D, $A17), "")</f>
        <v>11</v>
      </c>
      <c r="C17" s="15">
        <f>IFERROR(AVERAGEIFS(中間データ!$F:$F, 中間データ!$D:$D, $A17), "")</f>
        <v>3.3636363636363638</v>
      </c>
      <c r="D17" s="16">
        <f>IFERROR(AVERAGEIFS(中間データ!$H:$H, 中間データ!$D:$D, $A17), "")</f>
        <v>3.4545454545454546</v>
      </c>
      <c r="E17" s="16">
        <f>IFERROR(AVERAGEIFS(中間データ!$G:$G, 中間データ!$D:$D, $A17), "")</f>
        <v>3.6363636363636362</v>
      </c>
      <c r="F17" s="16">
        <f>IFERROR(AVERAGEIFS(中間データ!$K:$K, 中間データ!$D:$D, $A17), "")</f>
        <v>3.3636363636363638</v>
      </c>
      <c r="G17" s="16">
        <f>IFERROR(AVERAGEIFS(中間データ!$J:$J, 中間データ!$D:$D, $A17), "")</f>
        <v>3.1818181818181817</v>
      </c>
    </row>
    <row r="18" spans="1:7" ht="13.2" x14ac:dyDescent="0.25">
      <c r="A18" s="13" t="s">
        <v>111</v>
      </c>
      <c r="B18" s="14">
        <f>IFERROR(COUNTIF(中間データ!$D:$D, $A18), "")</f>
        <v>19</v>
      </c>
      <c r="C18" s="15">
        <f>IFERROR(AVERAGEIFS(中間データ!$F:$F, 中間データ!$D:$D, $A18), "")</f>
        <v>3.4210526315789473</v>
      </c>
      <c r="D18" s="16">
        <f>IFERROR(AVERAGEIFS(中間データ!$H:$H, 中間データ!$D:$D, $A18), "")</f>
        <v>3.5789473684210527</v>
      </c>
      <c r="E18" s="16">
        <f>IFERROR(AVERAGEIFS(中間データ!$G:$G, 中間データ!$D:$D, $A18), "")</f>
        <v>3.6315789473684212</v>
      </c>
      <c r="F18" s="16">
        <f>IFERROR(AVERAGEIFS(中間データ!$K:$K, 中間データ!$D:$D, $A18), "")</f>
        <v>3.263157894736842</v>
      </c>
      <c r="G18" s="16">
        <f>IFERROR(AVERAGEIFS(中間データ!$J:$J, 中間データ!$D:$D, $A18), "")</f>
        <v>2.8421052631578947</v>
      </c>
    </row>
    <row r="19" spans="1:7" ht="13.2" x14ac:dyDescent="0.25">
      <c r="A19" s="13"/>
      <c r="B19" s="15"/>
      <c r="C19" s="15">
        <f>IFERROR(AVERAGEIFS(中間データ!$F:$F, 中間データ!$D:$D, $A19), "")</f>
        <v>0</v>
      </c>
      <c r="D19" s="16">
        <f>IFERROR(AVERAGEIFS(中間データ!$H:$H, 中間データ!$D:$D, $A19), "")</f>
        <v>0</v>
      </c>
      <c r="E19" s="16">
        <f>IFERROR(AVERAGEIFS(中間データ!$G:$G, 中間データ!$D:$D, $A19), "")</f>
        <v>0</v>
      </c>
      <c r="F19" s="16">
        <f>IFERROR(AVERAGEIFS(中間データ!$K:$K, 中間データ!$D:$D, $A19), "")</f>
        <v>0</v>
      </c>
      <c r="G19" s="16">
        <f>IFERROR(AVERAGEIFS(中間データ!$J:$J, 中間データ!$D:$D, $A19), "")</f>
        <v>0</v>
      </c>
    </row>
    <row r="20" spans="1:7" ht="13.2" x14ac:dyDescent="0.25">
      <c r="A20" s="13"/>
      <c r="B20" s="15"/>
      <c r="C20" s="15">
        <f>IFERROR(AVERAGEIFS(中間データ!$F:$F, 中間データ!$D:$D, $A20), "")</f>
        <v>0</v>
      </c>
      <c r="D20" s="16">
        <f>IFERROR(AVERAGEIFS(中間データ!$H:$H, 中間データ!$D:$D, $A20), "")</f>
        <v>0</v>
      </c>
      <c r="E20" s="16">
        <f>IFERROR(AVERAGEIFS(中間データ!$G:$G, 中間データ!$D:$D, $A20), "")</f>
        <v>0</v>
      </c>
      <c r="F20" s="16">
        <f>IFERROR(AVERAGEIFS(中間データ!$K:$K, 中間データ!$D:$D, $A20), "")</f>
        <v>0</v>
      </c>
      <c r="G20" s="16">
        <f>IFERROR(AVERAGEIFS(中間データ!$J:$J, 中間データ!$D:$D, $A20), "")</f>
        <v>0</v>
      </c>
    </row>
    <row r="21" spans="1:7" ht="13.2" x14ac:dyDescent="0.25">
      <c r="A21" s="13"/>
      <c r="B21" s="15"/>
      <c r="C21" s="15">
        <f>IFERROR(AVERAGEIFS(中間データ!$F:$F, 中間データ!$D:$D, $A21), "")</f>
        <v>0</v>
      </c>
      <c r="D21" s="16">
        <f>IFERROR(AVERAGEIFS(中間データ!$H:$H, 中間データ!$D:$D, $A21), "")</f>
        <v>0</v>
      </c>
      <c r="E21" s="16">
        <f>IFERROR(AVERAGEIFS(中間データ!$G:$G, 中間データ!$D:$D, $A21), "")</f>
        <v>0</v>
      </c>
      <c r="F21" s="16">
        <f>IFERROR(AVERAGEIFS(中間データ!$K:$K, 中間データ!$D:$D, $A21), "")</f>
        <v>0</v>
      </c>
      <c r="G21" s="16">
        <f>IFERROR(AVERAGEIFS(中間データ!$J:$J, 中間データ!$D:$D, $A21), "")</f>
        <v>0</v>
      </c>
    </row>
    <row r="22" spans="1:7" ht="13.2" x14ac:dyDescent="0.25">
      <c r="A22" s="13"/>
      <c r="B22" s="15"/>
      <c r="C22" s="15">
        <f>IFERROR(AVERAGEIFS(中間データ!$F:$F, 中間データ!$D:$D, $A22), "")</f>
        <v>0</v>
      </c>
      <c r="D22" s="16">
        <f>IFERROR(AVERAGEIFS(中間データ!$H:$H, 中間データ!$D:$D, $A22), "")</f>
        <v>0</v>
      </c>
      <c r="E22" s="16">
        <f>IFERROR(AVERAGEIFS(中間データ!$G:$G, 中間データ!$D:$D, $A22), "")</f>
        <v>0</v>
      </c>
      <c r="F22" s="16">
        <f>IFERROR(AVERAGEIFS(中間データ!$K:$K, 中間データ!$D:$D, $A22), "")</f>
        <v>0</v>
      </c>
      <c r="G22" s="16">
        <f>IFERROR(AVERAGEIFS(中間データ!$J:$J, 中間データ!$D:$D, $A22), "")</f>
        <v>0</v>
      </c>
    </row>
    <row r="23" spans="1:7" ht="13.2" x14ac:dyDescent="0.25">
      <c r="A23" s="13"/>
      <c r="B23" s="15"/>
      <c r="C23" s="15">
        <f>IFERROR(AVERAGEIFS(中間データ!$F:$F, 中間データ!$D:$D, $A23), "")</f>
        <v>0</v>
      </c>
      <c r="D23" s="16">
        <f>IFERROR(AVERAGEIFS(中間データ!$H:$H, 中間データ!$D:$D, $A23), "")</f>
        <v>0</v>
      </c>
      <c r="E23" s="16">
        <f>IFERROR(AVERAGEIFS(中間データ!$G:$G, 中間データ!$D:$D, $A23), "")</f>
        <v>0</v>
      </c>
      <c r="F23" s="16">
        <f>IFERROR(AVERAGEIFS(中間データ!$K:$K, 中間データ!$D:$D, $A23), "")</f>
        <v>0</v>
      </c>
      <c r="G23" s="16">
        <f>IFERROR(AVERAGEIFS(中間データ!$J:$J, 中間データ!$D:$D, $A23), "")</f>
        <v>0</v>
      </c>
    </row>
    <row r="24" spans="1:7" ht="13.2" x14ac:dyDescent="0.25">
      <c r="A24" s="13"/>
      <c r="B24" s="15"/>
      <c r="C24" s="15">
        <f>IFERROR(AVERAGEIFS(中間データ!$F:$F, 中間データ!$D:$D, $A24), "")</f>
        <v>0</v>
      </c>
      <c r="D24" s="16">
        <f>IFERROR(AVERAGEIFS(中間データ!$H:$H, 中間データ!$D:$D, $A24), "")</f>
        <v>0</v>
      </c>
      <c r="E24" s="16">
        <f>IFERROR(AVERAGEIFS(中間データ!$G:$G, 中間データ!$D:$D, $A24), "")</f>
        <v>0</v>
      </c>
      <c r="F24" s="16">
        <f>IFERROR(AVERAGEIFS(中間データ!$K:$K, 中間データ!$D:$D, $A24), "")</f>
        <v>0</v>
      </c>
      <c r="G24" s="16">
        <f>IFERROR(AVERAGEIFS(中間データ!$J:$J, 中間データ!$D:$D, $A24), "")</f>
        <v>0</v>
      </c>
    </row>
    <row r="25" spans="1:7" ht="13.2" x14ac:dyDescent="0.25">
      <c r="A25" s="17"/>
      <c r="B25" s="17"/>
      <c r="C25" s="17"/>
      <c r="D25" s="17"/>
      <c r="E25" s="17"/>
      <c r="F25" s="17"/>
      <c r="G25" s="17"/>
    </row>
    <row r="26" spans="1:7" ht="13.2" x14ac:dyDescent="0.25">
      <c r="B26" s="17"/>
      <c r="C26" s="17"/>
      <c r="D26" s="17"/>
      <c r="E26" s="17"/>
      <c r="F26" s="17"/>
      <c r="G26" s="17"/>
    </row>
    <row r="27" spans="1:7" ht="13.2" x14ac:dyDescent="0.25">
      <c r="B27" s="17"/>
      <c r="C27" s="17"/>
      <c r="D27" s="17"/>
      <c r="E27" s="17"/>
      <c r="F27" s="17"/>
      <c r="G27" s="17"/>
    </row>
    <row r="28" spans="1:7" ht="13.2" x14ac:dyDescent="0.25">
      <c r="B28" s="17"/>
      <c r="C28" s="17"/>
      <c r="D28" s="17"/>
      <c r="E28" s="17"/>
      <c r="F28" s="17"/>
      <c r="G28" s="17"/>
    </row>
    <row r="29" spans="1:7" ht="13.2" x14ac:dyDescent="0.25">
      <c r="B29" s="17"/>
      <c r="C29" s="17"/>
      <c r="D29" s="17"/>
      <c r="E29" s="17"/>
      <c r="F29" s="17"/>
      <c r="G29" s="17"/>
    </row>
    <row r="30" spans="1:7" ht="13.2" x14ac:dyDescent="0.25">
      <c r="B30" s="17"/>
      <c r="C30" s="17"/>
      <c r="D30" s="17"/>
      <c r="E30" s="17"/>
      <c r="F30" s="17"/>
      <c r="G30" s="17"/>
    </row>
    <row r="31" spans="1:7" ht="13.2" x14ac:dyDescent="0.25">
      <c r="B31" s="17"/>
      <c r="C31" s="17"/>
      <c r="D31" s="17"/>
      <c r="E31" s="17"/>
      <c r="F31" s="17"/>
      <c r="G31" s="17"/>
    </row>
    <row r="32" spans="1:7" ht="13.2" x14ac:dyDescent="0.25">
      <c r="B32" s="17"/>
      <c r="C32" s="17"/>
      <c r="D32" s="17"/>
      <c r="E32" s="17"/>
      <c r="F32" s="17"/>
      <c r="G32" s="17"/>
    </row>
    <row r="33" spans="2:7" ht="13.2" x14ac:dyDescent="0.25">
      <c r="B33" s="17"/>
      <c r="C33" s="17"/>
      <c r="D33" s="17"/>
      <c r="E33" s="17"/>
      <c r="F33" s="17"/>
      <c r="G33" s="17"/>
    </row>
    <row r="34" spans="2:7" ht="13.2" x14ac:dyDescent="0.25">
      <c r="B34" s="17"/>
      <c r="C34" s="17"/>
      <c r="D34" s="17"/>
      <c r="E34" s="17"/>
      <c r="F34" s="17"/>
      <c r="G34" s="17"/>
    </row>
    <row r="35" spans="2:7" ht="13.2" x14ac:dyDescent="0.25">
      <c r="B35" s="17"/>
      <c r="C35" s="17"/>
      <c r="D35" s="17"/>
      <c r="E35" s="17"/>
      <c r="F35" s="17"/>
      <c r="G35" s="17"/>
    </row>
    <row r="36" spans="2:7" ht="13.2" x14ac:dyDescent="0.25">
      <c r="B36" s="17"/>
      <c r="C36" s="17"/>
      <c r="D36" s="17"/>
      <c r="E36" s="17"/>
      <c r="F36" s="17"/>
      <c r="G36" s="17"/>
    </row>
    <row r="37" spans="2:7" ht="13.2" x14ac:dyDescent="0.25">
      <c r="B37" s="17"/>
      <c r="C37" s="17"/>
      <c r="D37" s="17"/>
      <c r="E37" s="17"/>
      <c r="F37" s="17"/>
      <c r="G37" s="17"/>
    </row>
    <row r="38" spans="2:7" ht="13.2" x14ac:dyDescent="0.25">
      <c r="B38" s="17"/>
      <c r="C38" s="17"/>
      <c r="D38" s="17"/>
      <c r="E38" s="17"/>
      <c r="F38" s="17"/>
      <c r="G38" s="17"/>
    </row>
    <row r="39" spans="2:7" ht="13.2" x14ac:dyDescent="0.25">
      <c r="B39" s="17"/>
      <c r="C39" s="17"/>
      <c r="D39" s="17"/>
      <c r="E39" s="17"/>
      <c r="F39" s="17"/>
      <c r="G39" s="17"/>
    </row>
    <row r="40" spans="2:7" ht="13.2" x14ac:dyDescent="0.25">
      <c r="B40" s="17"/>
      <c r="C40" s="17"/>
      <c r="D40" s="17"/>
      <c r="E40" s="17"/>
      <c r="F40" s="17"/>
      <c r="G40" s="17"/>
    </row>
    <row r="41" spans="2:7" ht="13.2" x14ac:dyDescent="0.25">
      <c r="B41" s="17"/>
      <c r="C41" s="17"/>
      <c r="D41" s="17"/>
      <c r="E41" s="17"/>
      <c r="F41" s="17"/>
      <c r="G41" s="17"/>
    </row>
    <row r="42" spans="2:7" ht="13.2" x14ac:dyDescent="0.25">
      <c r="B42" s="17"/>
      <c r="C42" s="17"/>
      <c r="D42" s="17"/>
      <c r="E42" s="17"/>
      <c r="F42" s="17"/>
      <c r="G42" s="17"/>
    </row>
    <row r="43" spans="2:7" ht="13.2" x14ac:dyDescent="0.25">
      <c r="B43" s="17"/>
      <c r="C43" s="17"/>
      <c r="D43" s="17"/>
      <c r="E43" s="17"/>
      <c r="F43" s="17"/>
      <c r="G43" s="17"/>
    </row>
    <row r="44" spans="2:7" ht="13.2" x14ac:dyDescent="0.25">
      <c r="B44" s="17"/>
      <c r="C44" s="17"/>
      <c r="D44" s="17"/>
      <c r="E44" s="17"/>
      <c r="F44" s="17"/>
      <c r="G44" s="17"/>
    </row>
    <row r="45" spans="2:7" ht="13.2" x14ac:dyDescent="0.25">
      <c r="B45" s="17"/>
      <c r="C45" s="17"/>
      <c r="D45" s="17"/>
      <c r="E45" s="17"/>
      <c r="F45" s="17"/>
      <c r="G45" s="17"/>
    </row>
    <row r="46" spans="2:7" ht="13.2" x14ac:dyDescent="0.25">
      <c r="B46" s="17"/>
      <c r="C46" s="17"/>
      <c r="D46" s="17"/>
      <c r="E46" s="17"/>
      <c r="F46" s="17"/>
      <c r="G46" s="17"/>
    </row>
    <row r="47" spans="2:7" ht="13.2" x14ac:dyDescent="0.25">
      <c r="B47" s="17"/>
      <c r="C47" s="17"/>
      <c r="D47" s="17"/>
      <c r="E47" s="17"/>
      <c r="F47" s="17"/>
      <c r="G47" s="17"/>
    </row>
    <row r="48" spans="2:7" ht="13.2" x14ac:dyDescent="0.25">
      <c r="B48" s="17"/>
      <c r="C48" s="17"/>
      <c r="D48" s="17"/>
      <c r="E48" s="17"/>
      <c r="F48" s="17"/>
      <c r="G48" s="17"/>
    </row>
    <row r="49" spans="2:7" ht="13.2" x14ac:dyDescent="0.25">
      <c r="B49" s="17"/>
      <c r="C49" s="17"/>
      <c r="D49" s="17"/>
      <c r="E49" s="17"/>
      <c r="F49" s="17"/>
      <c r="G49" s="17"/>
    </row>
    <row r="50" spans="2:7" ht="13.2" x14ac:dyDescent="0.25">
      <c r="B50" s="17"/>
      <c r="C50" s="17"/>
      <c r="D50" s="17"/>
      <c r="E50" s="17"/>
      <c r="F50" s="17"/>
      <c r="G50" s="17"/>
    </row>
    <row r="51" spans="2:7" ht="13.2" x14ac:dyDescent="0.25">
      <c r="B51" s="17"/>
      <c r="C51" s="17"/>
      <c r="D51" s="17"/>
      <c r="E51" s="17"/>
      <c r="F51" s="17"/>
      <c r="G51" s="17"/>
    </row>
    <row r="52" spans="2:7" ht="13.2" x14ac:dyDescent="0.25">
      <c r="B52" s="17"/>
      <c r="C52" s="17"/>
      <c r="D52" s="17"/>
      <c r="E52" s="17"/>
      <c r="F52" s="17"/>
      <c r="G52" s="17"/>
    </row>
    <row r="53" spans="2:7" ht="13.2" x14ac:dyDescent="0.25">
      <c r="B53" s="17"/>
      <c r="C53" s="17"/>
      <c r="D53" s="17"/>
      <c r="E53" s="17"/>
      <c r="F53" s="17"/>
      <c r="G53" s="17"/>
    </row>
    <row r="54" spans="2:7" ht="13.2" x14ac:dyDescent="0.25">
      <c r="B54" s="17"/>
      <c r="C54" s="17"/>
      <c r="D54" s="17"/>
      <c r="E54" s="17"/>
      <c r="F54" s="17"/>
      <c r="G54" s="17"/>
    </row>
    <row r="55" spans="2:7" ht="13.2" x14ac:dyDescent="0.25">
      <c r="B55" s="17"/>
      <c r="C55" s="17"/>
      <c r="D55" s="17"/>
      <c r="E55" s="17"/>
      <c r="F55" s="17"/>
      <c r="G55" s="17"/>
    </row>
    <row r="56" spans="2:7" ht="13.2" x14ac:dyDescent="0.25">
      <c r="B56" s="17"/>
      <c r="C56" s="17"/>
      <c r="D56" s="17"/>
      <c r="E56" s="17"/>
      <c r="F56" s="17"/>
      <c r="G56" s="17"/>
    </row>
    <row r="57" spans="2:7" ht="13.2" x14ac:dyDescent="0.25">
      <c r="B57" s="17"/>
      <c r="C57" s="17"/>
      <c r="D57" s="17"/>
      <c r="E57" s="17"/>
      <c r="F57" s="17"/>
      <c r="G57" s="17"/>
    </row>
    <row r="58" spans="2:7" ht="13.2" x14ac:dyDescent="0.25">
      <c r="B58" s="17"/>
      <c r="C58" s="17"/>
      <c r="D58" s="17"/>
      <c r="E58" s="17"/>
      <c r="F58" s="17"/>
      <c r="G58" s="17"/>
    </row>
    <row r="59" spans="2:7" ht="13.2" x14ac:dyDescent="0.25">
      <c r="B59" s="17"/>
      <c r="C59" s="17"/>
      <c r="D59" s="17"/>
      <c r="E59" s="17"/>
      <c r="F59" s="17"/>
      <c r="G59" s="17"/>
    </row>
    <row r="60" spans="2:7" ht="13.2" x14ac:dyDescent="0.25">
      <c r="B60" s="17"/>
      <c r="C60" s="17"/>
      <c r="D60" s="17"/>
      <c r="E60" s="17"/>
      <c r="F60" s="17"/>
      <c r="G60" s="17"/>
    </row>
    <row r="61" spans="2:7" ht="13.2" x14ac:dyDescent="0.25">
      <c r="B61" s="17"/>
      <c r="C61" s="17"/>
      <c r="D61" s="17"/>
      <c r="E61" s="17"/>
      <c r="F61" s="17"/>
      <c r="G61" s="17"/>
    </row>
    <row r="62" spans="2:7" ht="13.2" x14ac:dyDescent="0.25">
      <c r="B62" s="17"/>
      <c r="C62" s="17"/>
      <c r="D62" s="17"/>
      <c r="E62" s="17"/>
      <c r="F62" s="17"/>
      <c r="G62" s="17"/>
    </row>
    <row r="63" spans="2:7" ht="13.2" x14ac:dyDescent="0.25">
      <c r="B63" s="17"/>
      <c r="C63" s="17"/>
      <c r="D63" s="17"/>
      <c r="E63" s="17"/>
      <c r="F63" s="17"/>
      <c r="G63" s="17"/>
    </row>
    <row r="64" spans="2:7" ht="13.2" x14ac:dyDescent="0.25">
      <c r="B64" s="17"/>
      <c r="C64" s="17"/>
      <c r="D64" s="17"/>
      <c r="E64" s="17"/>
      <c r="F64" s="17"/>
      <c r="G64" s="17"/>
    </row>
    <row r="65" spans="2:7" ht="13.2" x14ac:dyDescent="0.25">
      <c r="B65" s="17"/>
      <c r="C65" s="17"/>
      <c r="D65" s="17"/>
      <c r="E65" s="17"/>
      <c r="F65" s="17"/>
      <c r="G65" s="17"/>
    </row>
    <row r="66" spans="2:7" ht="13.2" x14ac:dyDescent="0.25">
      <c r="B66" s="17"/>
      <c r="C66" s="17"/>
      <c r="D66" s="17"/>
      <c r="E66" s="17"/>
      <c r="F66" s="17"/>
      <c r="G66" s="17"/>
    </row>
    <row r="67" spans="2:7" ht="13.2" x14ac:dyDescent="0.25">
      <c r="B67" s="17"/>
      <c r="C67" s="17"/>
      <c r="D67" s="17"/>
      <c r="E67" s="17"/>
      <c r="F67" s="17"/>
      <c r="G67" s="17"/>
    </row>
    <row r="68" spans="2:7" ht="13.2" x14ac:dyDescent="0.25">
      <c r="B68" s="17"/>
      <c r="C68" s="17"/>
      <c r="D68" s="17"/>
      <c r="E68" s="17"/>
      <c r="F68" s="17"/>
      <c r="G68" s="17"/>
    </row>
    <row r="69" spans="2:7" ht="13.2" x14ac:dyDescent="0.25">
      <c r="B69" s="17"/>
      <c r="C69" s="17"/>
      <c r="D69" s="17"/>
      <c r="E69" s="17"/>
      <c r="F69" s="17"/>
      <c r="G69" s="17"/>
    </row>
    <row r="70" spans="2:7" ht="13.2" x14ac:dyDescent="0.25">
      <c r="B70" s="17"/>
      <c r="C70" s="17"/>
      <c r="D70" s="17"/>
      <c r="E70" s="17"/>
      <c r="F70" s="17"/>
      <c r="G70" s="17"/>
    </row>
    <row r="71" spans="2:7" ht="13.2" x14ac:dyDescent="0.25">
      <c r="B71" s="17"/>
      <c r="C71" s="17"/>
      <c r="D71" s="17"/>
      <c r="E71" s="17"/>
      <c r="F71" s="17"/>
      <c r="G71" s="17"/>
    </row>
    <row r="72" spans="2:7" ht="13.2" x14ac:dyDescent="0.25">
      <c r="B72" s="17"/>
      <c r="C72" s="17"/>
      <c r="D72" s="17"/>
      <c r="E72" s="17"/>
      <c r="F72" s="17"/>
      <c r="G72" s="17"/>
    </row>
    <row r="73" spans="2:7" ht="13.2" x14ac:dyDescent="0.25">
      <c r="B73" s="17"/>
      <c r="C73" s="17"/>
      <c r="D73" s="17"/>
      <c r="E73" s="17"/>
      <c r="F73" s="17"/>
      <c r="G73" s="17"/>
    </row>
    <row r="74" spans="2:7" ht="13.2" x14ac:dyDescent="0.25">
      <c r="B74" s="17"/>
      <c r="C74" s="17"/>
      <c r="D74" s="17"/>
      <c r="E74" s="17"/>
      <c r="F74" s="17"/>
      <c r="G74" s="17"/>
    </row>
    <row r="75" spans="2:7" ht="13.2" x14ac:dyDescent="0.25">
      <c r="B75" s="17"/>
      <c r="C75" s="17"/>
      <c r="D75" s="17"/>
      <c r="E75" s="17"/>
      <c r="F75" s="17"/>
      <c r="G75" s="17"/>
    </row>
    <row r="76" spans="2:7" ht="13.2" x14ac:dyDescent="0.25">
      <c r="B76" s="17"/>
      <c r="C76" s="17"/>
      <c r="D76" s="17"/>
      <c r="E76" s="17"/>
      <c r="F76" s="17"/>
      <c r="G76" s="17"/>
    </row>
    <row r="77" spans="2:7" ht="13.2" x14ac:dyDescent="0.25">
      <c r="B77" s="17"/>
      <c r="C77" s="17"/>
      <c r="D77" s="17"/>
      <c r="E77" s="17"/>
      <c r="F77" s="17"/>
      <c r="G77" s="17"/>
    </row>
    <row r="78" spans="2:7" ht="13.2" x14ac:dyDescent="0.25">
      <c r="B78" s="17"/>
      <c r="C78" s="17"/>
      <c r="D78" s="17"/>
      <c r="E78" s="17"/>
      <c r="F78" s="17"/>
      <c r="G78" s="17"/>
    </row>
    <row r="79" spans="2:7" ht="13.2" x14ac:dyDescent="0.25">
      <c r="B79" s="17"/>
      <c r="C79" s="17"/>
      <c r="D79" s="17"/>
      <c r="E79" s="17"/>
      <c r="F79" s="17"/>
      <c r="G79" s="17"/>
    </row>
    <row r="80" spans="2:7" ht="13.2" x14ac:dyDescent="0.25">
      <c r="B80" s="17"/>
      <c r="C80" s="17"/>
      <c r="D80" s="17"/>
      <c r="E80" s="17"/>
      <c r="F80" s="17"/>
      <c r="G80" s="17"/>
    </row>
    <row r="81" spans="2:7" ht="13.2" x14ac:dyDescent="0.25">
      <c r="B81" s="17"/>
      <c r="C81" s="17"/>
      <c r="D81" s="17"/>
      <c r="E81" s="17"/>
      <c r="F81" s="17"/>
      <c r="G81" s="17"/>
    </row>
    <row r="82" spans="2:7" ht="13.2" x14ac:dyDescent="0.25">
      <c r="B82" s="17"/>
      <c r="C82" s="17"/>
      <c r="D82" s="17"/>
      <c r="E82" s="17"/>
      <c r="F82" s="17"/>
      <c r="G82" s="17"/>
    </row>
    <row r="83" spans="2:7" ht="13.2" x14ac:dyDescent="0.25">
      <c r="B83" s="17"/>
      <c r="C83" s="17"/>
      <c r="D83" s="17"/>
      <c r="E83" s="17"/>
      <c r="F83" s="17"/>
      <c r="G83" s="17"/>
    </row>
    <row r="84" spans="2:7" ht="13.2" x14ac:dyDescent="0.25">
      <c r="B84" s="17"/>
      <c r="C84" s="17"/>
      <c r="D84" s="17"/>
      <c r="E84" s="17"/>
      <c r="F84" s="17"/>
      <c r="G84" s="17"/>
    </row>
    <row r="85" spans="2:7" ht="13.2" x14ac:dyDescent="0.25">
      <c r="B85" s="17"/>
      <c r="C85" s="17"/>
      <c r="D85" s="17"/>
      <c r="E85" s="17"/>
      <c r="F85" s="17"/>
      <c r="G85" s="17"/>
    </row>
    <row r="86" spans="2:7" ht="13.2" x14ac:dyDescent="0.25">
      <c r="B86" s="17"/>
      <c r="C86" s="17"/>
      <c r="D86" s="17"/>
      <c r="E86" s="17"/>
      <c r="F86" s="17"/>
      <c r="G86" s="17"/>
    </row>
    <row r="87" spans="2:7" ht="13.2" x14ac:dyDescent="0.25">
      <c r="B87" s="17"/>
      <c r="C87" s="17"/>
      <c r="D87" s="17"/>
      <c r="E87" s="17"/>
      <c r="F87" s="17"/>
      <c r="G87" s="17"/>
    </row>
    <row r="88" spans="2:7" ht="13.2" x14ac:dyDescent="0.25">
      <c r="B88" s="17"/>
      <c r="C88" s="17"/>
      <c r="D88" s="17"/>
      <c r="E88" s="17"/>
      <c r="F88" s="17"/>
      <c r="G88" s="17"/>
    </row>
    <row r="89" spans="2:7" ht="13.2" x14ac:dyDescent="0.25">
      <c r="B89" s="17"/>
      <c r="C89" s="17"/>
      <c r="D89" s="17"/>
      <c r="E89" s="17"/>
      <c r="F89" s="17"/>
      <c r="G89" s="17"/>
    </row>
    <row r="90" spans="2:7" ht="13.2" x14ac:dyDescent="0.25">
      <c r="B90" s="17"/>
      <c r="C90" s="17"/>
      <c r="D90" s="17"/>
      <c r="E90" s="17"/>
      <c r="F90" s="17"/>
      <c r="G90" s="17"/>
    </row>
    <row r="91" spans="2:7" ht="13.2" x14ac:dyDescent="0.25">
      <c r="B91" s="17"/>
      <c r="C91" s="17"/>
      <c r="D91" s="17"/>
      <c r="E91" s="17"/>
      <c r="F91" s="17"/>
      <c r="G91" s="17"/>
    </row>
    <row r="92" spans="2:7" ht="13.2" x14ac:dyDescent="0.25">
      <c r="B92" s="17"/>
      <c r="C92" s="17"/>
      <c r="D92" s="17"/>
      <c r="E92" s="17"/>
      <c r="F92" s="17"/>
      <c r="G92" s="17"/>
    </row>
    <row r="93" spans="2:7" ht="13.2" x14ac:dyDescent="0.25">
      <c r="B93" s="17"/>
      <c r="C93" s="17"/>
      <c r="D93" s="17"/>
      <c r="E93" s="17"/>
      <c r="F93" s="17"/>
      <c r="G93" s="17"/>
    </row>
    <row r="94" spans="2:7" ht="13.2" x14ac:dyDescent="0.25">
      <c r="B94" s="17"/>
      <c r="C94" s="17"/>
      <c r="D94" s="17"/>
      <c r="E94" s="17"/>
      <c r="F94" s="17"/>
      <c r="G94" s="17"/>
    </row>
    <row r="95" spans="2:7" ht="13.2" x14ac:dyDescent="0.25">
      <c r="B95" s="17"/>
      <c r="C95" s="17"/>
      <c r="D95" s="17"/>
      <c r="E95" s="17"/>
      <c r="F95" s="17"/>
      <c r="G95" s="17"/>
    </row>
    <row r="96" spans="2:7" ht="13.2" x14ac:dyDescent="0.25">
      <c r="B96" s="17"/>
      <c r="C96" s="17"/>
      <c r="D96" s="17"/>
      <c r="E96" s="17"/>
      <c r="F96" s="17"/>
      <c r="G96" s="17"/>
    </row>
    <row r="97" spans="2:7" ht="13.2" x14ac:dyDescent="0.25">
      <c r="B97" s="17"/>
      <c r="C97" s="17"/>
      <c r="D97" s="17"/>
      <c r="E97" s="17"/>
      <c r="F97" s="17"/>
      <c r="G97" s="17"/>
    </row>
    <row r="98" spans="2:7" ht="13.2" x14ac:dyDescent="0.25">
      <c r="B98" s="17"/>
      <c r="C98" s="17"/>
      <c r="D98" s="17"/>
      <c r="E98" s="17"/>
      <c r="F98" s="17"/>
      <c r="G98" s="17"/>
    </row>
    <row r="99" spans="2:7" ht="13.2" x14ac:dyDescent="0.25">
      <c r="B99" s="17"/>
      <c r="C99" s="17"/>
      <c r="D99" s="17"/>
      <c r="E99" s="17"/>
      <c r="F99" s="17"/>
      <c r="G99" s="17"/>
    </row>
    <row r="100" spans="2:7" ht="13.2" x14ac:dyDescent="0.25">
      <c r="B100" s="17"/>
      <c r="C100" s="17"/>
      <c r="D100" s="17"/>
      <c r="E100" s="17"/>
      <c r="F100" s="17"/>
      <c r="G100" s="17"/>
    </row>
    <row r="101" spans="2:7" ht="13.2" x14ac:dyDescent="0.25">
      <c r="B101" s="17"/>
      <c r="C101" s="17"/>
      <c r="D101" s="17"/>
      <c r="E101" s="17"/>
      <c r="F101" s="17"/>
      <c r="G101" s="17"/>
    </row>
    <row r="102" spans="2:7" ht="13.2" x14ac:dyDescent="0.25">
      <c r="B102" s="17"/>
      <c r="C102" s="17"/>
      <c r="D102" s="17"/>
      <c r="E102" s="17"/>
      <c r="F102" s="17"/>
      <c r="G102" s="17"/>
    </row>
    <row r="103" spans="2:7" ht="13.2" x14ac:dyDescent="0.25">
      <c r="B103" s="17"/>
      <c r="C103" s="17"/>
      <c r="D103" s="17"/>
      <c r="E103" s="17"/>
      <c r="F103" s="17"/>
      <c r="G103" s="17"/>
    </row>
    <row r="104" spans="2:7" ht="13.2" x14ac:dyDescent="0.25">
      <c r="B104" s="17"/>
      <c r="C104" s="17"/>
      <c r="D104" s="17"/>
      <c r="E104" s="17"/>
      <c r="F104" s="17"/>
      <c r="G104" s="17"/>
    </row>
    <row r="105" spans="2:7" ht="13.2" x14ac:dyDescent="0.25">
      <c r="B105" s="17"/>
      <c r="C105" s="17"/>
      <c r="D105" s="17"/>
      <c r="E105" s="17"/>
      <c r="F105" s="17"/>
      <c r="G105" s="17"/>
    </row>
    <row r="106" spans="2:7" ht="13.2" x14ac:dyDescent="0.25">
      <c r="B106" s="17"/>
      <c r="C106" s="17"/>
      <c r="D106" s="17"/>
      <c r="E106" s="17"/>
      <c r="F106" s="17"/>
      <c r="G106" s="17"/>
    </row>
    <row r="107" spans="2:7" ht="13.2" x14ac:dyDescent="0.25">
      <c r="B107" s="17"/>
      <c r="C107" s="17"/>
      <c r="D107" s="17"/>
      <c r="E107" s="17"/>
      <c r="F107" s="17"/>
      <c r="G107" s="17"/>
    </row>
    <row r="108" spans="2:7" ht="13.2" x14ac:dyDescent="0.25">
      <c r="B108" s="17"/>
      <c r="C108" s="17"/>
      <c r="D108" s="17"/>
      <c r="E108" s="17"/>
      <c r="F108" s="17"/>
      <c r="G108" s="17"/>
    </row>
    <row r="109" spans="2:7" ht="13.2" x14ac:dyDescent="0.25">
      <c r="B109" s="17"/>
      <c r="C109" s="17"/>
      <c r="D109" s="17"/>
      <c r="E109" s="17"/>
      <c r="F109" s="17"/>
      <c r="G109" s="17"/>
    </row>
    <row r="110" spans="2:7" ht="13.2" x14ac:dyDescent="0.25">
      <c r="B110" s="17"/>
      <c r="C110" s="17"/>
      <c r="D110" s="17"/>
      <c r="E110" s="17"/>
      <c r="F110" s="17"/>
      <c r="G110" s="17"/>
    </row>
    <row r="111" spans="2:7" ht="13.2" x14ac:dyDescent="0.25">
      <c r="B111" s="17"/>
      <c r="C111" s="17"/>
      <c r="D111" s="17"/>
      <c r="E111" s="17"/>
      <c r="F111" s="17"/>
      <c r="G111" s="17"/>
    </row>
    <row r="112" spans="2:7" ht="13.2" x14ac:dyDescent="0.25">
      <c r="B112" s="17"/>
      <c r="C112" s="17"/>
      <c r="D112" s="17"/>
      <c r="E112" s="17"/>
      <c r="F112" s="17"/>
      <c r="G112" s="17"/>
    </row>
    <row r="113" spans="2:7" ht="13.2" x14ac:dyDescent="0.25">
      <c r="B113" s="17"/>
      <c r="C113" s="17"/>
      <c r="D113" s="17"/>
      <c r="E113" s="17"/>
      <c r="F113" s="17"/>
      <c r="G113" s="17"/>
    </row>
    <row r="114" spans="2:7" ht="13.2" x14ac:dyDescent="0.25">
      <c r="B114" s="17"/>
      <c r="C114" s="17"/>
      <c r="D114" s="17"/>
      <c r="E114" s="17"/>
      <c r="F114" s="17"/>
      <c r="G114" s="17"/>
    </row>
    <row r="115" spans="2:7" ht="13.2" x14ac:dyDescent="0.25">
      <c r="B115" s="17"/>
      <c r="C115" s="17"/>
      <c r="D115" s="17"/>
      <c r="E115" s="17"/>
      <c r="F115" s="17"/>
      <c r="G115" s="17"/>
    </row>
    <row r="116" spans="2:7" ht="13.2" x14ac:dyDescent="0.25">
      <c r="B116" s="17"/>
      <c r="C116" s="17"/>
      <c r="D116" s="17"/>
      <c r="E116" s="17"/>
      <c r="F116" s="17"/>
      <c r="G116" s="17"/>
    </row>
    <row r="117" spans="2:7" ht="13.2" x14ac:dyDescent="0.25">
      <c r="B117" s="17"/>
      <c r="C117" s="17"/>
      <c r="D117" s="17"/>
      <c r="E117" s="17"/>
      <c r="F117" s="17"/>
      <c r="G117" s="17"/>
    </row>
    <row r="118" spans="2:7" ht="13.2" x14ac:dyDescent="0.25">
      <c r="B118" s="17"/>
      <c r="C118" s="17"/>
      <c r="D118" s="17"/>
      <c r="E118" s="17"/>
      <c r="F118" s="17"/>
      <c r="G118" s="17"/>
    </row>
    <row r="119" spans="2:7" ht="13.2" x14ac:dyDescent="0.25">
      <c r="B119" s="17"/>
      <c r="C119" s="17"/>
      <c r="D119" s="17"/>
      <c r="E119" s="17"/>
      <c r="F119" s="17"/>
      <c r="G119" s="17"/>
    </row>
    <row r="120" spans="2:7" ht="13.2" x14ac:dyDescent="0.25">
      <c r="B120" s="17"/>
      <c r="C120" s="17"/>
      <c r="D120" s="17"/>
      <c r="E120" s="17"/>
      <c r="F120" s="17"/>
      <c r="G120" s="17"/>
    </row>
    <row r="121" spans="2:7" ht="13.2" x14ac:dyDescent="0.25">
      <c r="B121" s="17"/>
      <c r="C121" s="17"/>
      <c r="D121" s="17"/>
      <c r="E121" s="17"/>
      <c r="F121" s="17"/>
      <c r="G121" s="17"/>
    </row>
    <row r="122" spans="2:7" ht="13.2" x14ac:dyDescent="0.25">
      <c r="B122" s="17"/>
      <c r="C122" s="17"/>
      <c r="D122" s="17"/>
      <c r="E122" s="17"/>
      <c r="F122" s="17"/>
      <c r="G122" s="17"/>
    </row>
    <row r="123" spans="2:7" ht="13.2" x14ac:dyDescent="0.25">
      <c r="B123" s="17"/>
      <c r="C123" s="17"/>
      <c r="D123" s="17"/>
      <c r="E123" s="17"/>
      <c r="F123" s="17"/>
      <c r="G123" s="17"/>
    </row>
    <row r="124" spans="2:7" ht="13.2" x14ac:dyDescent="0.25">
      <c r="B124" s="17"/>
      <c r="C124" s="17"/>
      <c r="D124" s="17"/>
      <c r="E124" s="17"/>
      <c r="F124" s="17"/>
      <c r="G124" s="17"/>
    </row>
    <row r="125" spans="2:7" ht="13.2" x14ac:dyDescent="0.25">
      <c r="B125" s="17"/>
      <c r="C125" s="17"/>
      <c r="D125" s="17"/>
      <c r="E125" s="17"/>
      <c r="F125" s="17"/>
      <c r="G125" s="17"/>
    </row>
    <row r="126" spans="2:7" ht="13.2" x14ac:dyDescent="0.25">
      <c r="B126" s="17"/>
      <c r="C126" s="17"/>
      <c r="D126" s="17"/>
      <c r="E126" s="17"/>
      <c r="F126" s="17"/>
      <c r="G126" s="17"/>
    </row>
    <row r="127" spans="2:7" ht="13.2" x14ac:dyDescent="0.25">
      <c r="B127" s="17"/>
      <c r="C127" s="17"/>
      <c r="D127" s="17"/>
      <c r="E127" s="17"/>
      <c r="F127" s="17"/>
      <c r="G127" s="17"/>
    </row>
    <row r="128" spans="2:7" ht="13.2" x14ac:dyDescent="0.25">
      <c r="B128" s="17"/>
      <c r="C128" s="17"/>
      <c r="D128" s="17"/>
      <c r="E128" s="17"/>
      <c r="F128" s="17"/>
      <c r="G128" s="17"/>
    </row>
    <row r="129" spans="2:7" ht="13.2" x14ac:dyDescent="0.25">
      <c r="B129" s="17"/>
      <c r="C129" s="17"/>
      <c r="D129" s="17"/>
      <c r="E129" s="17"/>
      <c r="F129" s="17"/>
      <c r="G129" s="17"/>
    </row>
    <row r="130" spans="2:7" ht="13.2" x14ac:dyDescent="0.25">
      <c r="B130" s="17"/>
      <c r="C130" s="17"/>
      <c r="D130" s="17"/>
      <c r="E130" s="17"/>
      <c r="F130" s="17"/>
      <c r="G130" s="17"/>
    </row>
    <row r="131" spans="2:7" ht="13.2" x14ac:dyDescent="0.25">
      <c r="B131" s="17"/>
      <c r="C131" s="17"/>
      <c r="D131" s="17"/>
      <c r="E131" s="17"/>
      <c r="F131" s="17"/>
      <c r="G131" s="17"/>
    </row>
    <row r="132" spans="2:7" ht="13.2" x14ac:dyDescent="0.25">
      <c r="B132" s="17"/>
      <c r="C132" s="17"/>
      <c r="D132" s="17"/>
      <c r="E132" s="17"/>
      <c r="F132" s="17"/>
      <c r="G132" s="17"/>
    </row>
    <row r="133" spans="2:7" ht="13.2" x14ac:dyDescent="0.25">
      <c r="B133" s="17"/>
      <c r="C133" s="17"/>
      <c r="D133" s="17"/>
      <c r="E133" s="17"/>
      <c r="F133" s="17"/>
      <c r="G133" s="17"/>
    </row>
    <row r="134" spans="2:7" ht="13.2" x14ac:dyDescent="0.25">
      <c r="B134" s="17"/>
      <c r="C134" s="17"/>
      <c r="D134" s="17"/>
      <c r="E134" s="17"/>
      <c r="F134" s="17"/>
      <c r="G134" s="17"/>
    </row>
    <row r="135" spans="2:7" ht="13.2" x14ac:dyDescent="0.25">
      <c r="B135" s="17"/>
      <c r="C135" s="17"/>
      <c r="D135" s="17"/>
      <c r="E135" s="17"/>
      <c r="F135" s="17"/>
      <c r="G135" s="17"/>
    </row>
    <row r="136" spans="2:7" ht="13.2" x14ac:dyDescent="0.25">
      <c r="B136" s="17"/>
      <c r="C136" s="17"/>
      <c r="D136" s="17"/>
      <c r="E136" s="17"/>
      <c r="F136" s="17"/>
      <c r="G136" s="17"/>
    </row>
    <row r="137" spans="2:7" ht="13.2" x14ac:dyDescent="0.25">
      <c r="B137" s="17"/>
      <c r="C137" s="17"/>
      <c r="D137" s="17"/>
      <c r="E137" s="17"/>
      <c r="F137" s="17"/>
      <c r="G137" s="17"/>
    </row>
    <row r="138" spans="2:7" ht="13.2" x14ac:dyDescent="0.25">
      <c r="B138" s="17"/>
      <c r="C138" s="17"/>
      <c r="D138" s="17"/>
      <c r="E138" s="17"/>
      <c r="F138" s="17"/>
      <c r="G138" s="17"/>
    </row>
    <row r="139" spans="2:7" ht="13.2" x14ac:dyDescent="0.25">
      <c r="B139" s="17"/>
      <c r="C139" s="17"/>
      <c r="D139" s="17"/>
      <c r="E139" s="17"/>
      <c r="F139" s="17"/>
      <c r="G139" s="17"/>
    </row>
    <row r="140" spans="2:7" ht="13.2" x14ac:dyDescent="0.25">
      <c r="B140" s="17"/>
      <c r="C140" s="17"/>
      <c r="D140" s="17"/>
      <c r="E140" s="17"/>
      <c r="F140" s="17"/>
      <c r="G140" s="17"/>
    </row>
    <row r="141" spans="2:7" ht="13.2" x14ac:dyDescent="0.25">
      <c r="B141" s="17"/>
      <c r="C141" s="17"/>
      <c r="D141" s="17"/>
      <c r="E141" s="17"/>
      <c r="F141" s="17"/>
      <c r="G141" s="17"/>
    </row>
    <row r="142" spans="2:7" ht="13.2" x14ac:dyDescent="0.25">
      <c r="B142" s="17"/>
      <c r="C142" s="17"/>
      <c r="D142" s="17"/>
      <c r="E142" s="17"/>
      <c r="F142" s="17"/>
      <c r="G142" s="17"/>
    </row>
    <row r="143" spans="2:7" ht="13.2" x14ac:dyDescent="0.25">
      <c r="B143" s="17"/>
      <c r="C143" s="17"/>
      <c r="D143" s="17"/>
      <c r="E143" s="17"/>
      <c r="F143" s="17"/>
      <c r="G143" s="17"/>
    </row>
    <row r="144" spans="2:7" ht="13.2" x14ac:dyDescent="0.25">
      <c r="B144" s="17"/>
      <c r="C144" s="17"/>
      <c r="D144" s="17"/>
      <c r="E144" s="17"/>
      <c r="F144" s="17"/>
      <c r="G144" s="17"/>
    </row>
    <row r="145" spans="2:7" ht="13.2" x14ac:dyDescent="0.25">
      <c r="B145" s="17"/>
      <c r="C145" s="17"/>
      <c r="D145" s="17"/>
      <c r="E145" s="17"/>
      <c r="F145" s="17"/>
      <c r="G145" s="17"/>
    </row>
    <row r="146" spans="2:7" ht="13.2" x14ac:dyDescent="0.25">
      <c r="B146" s="17"/>
      <c r="C146" s="17"/>
      <c r="D146" s="17"/>
      <c r="E146" s="17"/>
      <c r="F146" s="17"/>
      <c r="G146" s="17"/>
    </row>
    <row r="147" spans="2:7" ht="13.2" x14ac:dyDescent="0.25">
      <c r="B147" s="17"/>
      <c r="C147" s="17"/>
      <c r="D147" s="17"/>
      <c r="E147" s="17"/>
      <c r="F147" s="17"/>
      <c r="G147" s="17"/>
    </row>
    <row r="148" spans="2:7" ht="13.2" x14ac:dyDescent="0.25">
      <c r="B148" s="17"/>
      <c r="C148" s="17"/>
      <c r="D148" s="17"/>
      <c r="E148" s="17"/>
      <c r="F148" s="17"/>
      <c r="G148" s="17"/>
    </row>
    <row r="149" spans="2:7" ht="13.2" x14ac:dyDescent="0.25">
      <c r="B149" s="17"/>
      <c r="C149" s="17"/>
      <c r="D149" s="17"/>
      <c r="E149" s="17"/>
      <c r="F149" s="17"/>
      <c r="G149" s="17"/>
    </row>
    <row r="150" spans="2:7" ht="13.2" x14ac:dyDescent="0.25">
      <c r="B150" s="17"/>
      <c r="C150" s="17"/>
      <c r="D150" s="17"/>
      <c r="E150" s="17"/>
      <c r="F150" s="17"/>
      <c r="G150" s="17"/>
    </row>
    <row r="151" spans="2:7" ht="13.2" x14ac:dyDescent="0.25">
      <c r="B151" s="17"/>
      <c r="C151" s="17"/>
      <c r="D151" s="17"/>
      <c r="E151" s="17"/>
      <c r="F151" s="17"/>
      <c r="G151" s="17"/>
    </row>
    <row r="152" spans="2:7" ht="13.2" x14ac:dyDescent="0.25">
      <c r="B152" s="17"/>
      <c r="C152" s="17"/>
      <c r="D152" s="17"/>
      <c r="E152" s="17"/>
      <c r="F152" s="17"/>
      <c r="G152" s="17"/>
    </row>
    <row r="153" spans="2:7" ht="13.2" x14ac:dyDescent="0.25">
      <c r="B153" s="17"/>
      <c r="C153" s="17"/>
      <c r="D153" s="17"/>
      <c r="E153" s="17"/>
      <c r="F153" s="17"/>
      <c r="G153" s="17"/>
    </row>
    <row r="154" spans="2:7" ht="13.2" x14ac:dyDescent="0.25">
      <c r="B154" s="17"/>
      <c r="C154" s="17"/>
      <c r="D154" s="17"/>
      <c r="E154" s="17"/>
      <c r="F154" s="17"/>
      <c r="G154" s="17"/>
    </row>
    <row r="155" spans="2:7" ht="13.2" x14ac:dyDescent="0.25">
      <c r="B155" s="17"/>
      <c r="C155" s="17"/>
      <c r="D155" s="17"/>
      <c r="E155" s="17"/>
      <c r="F155" s="17"/>
      <c r="G155" s="17"/>
    </row>
    <row r="156" spans="2:7" ht="13.2" x14ac:dyDescent="0.25">
      <c r="B156" s="17"/>
      <c r="C156" s="17"/>
      <c r="D156" s="17"/>
      <c r="E156" s="17"/>
      <c r="F156" s="17"/>
      <c r="G156" s="17"/>
    </row>
    <row r="157" spans="2:7" ht="13.2" x14ac:dyDescent="0.25">
      <c r="B157" s="17"/>
      <c r="C157" s="17"/>
      <c r="D157" s="17"/>
      <c r="E157" s="17"/>
      <c r="F157" s="17"/>
      <c r="G157" s="17"/>
    </row>
    <row r="158" spans="2:7" ht="13.2" x14ac:dyDescent="0.25">
      <c r="B158" s="17"/>
      <c r="C158" s="17"/>
      <c r="D158" s="17"/>
      <c r="E158" s="17"/>
      <c r="F158" s="17"/>
      <c r="G158" s="17"/>
    </row>
    <row r="159" spans="2:7" ht="13.2" x14ac:dyDescent="0.25">
      <c r="B159" s="17"/>
      <c r="C159" s="17"/>
      <c r="D159" s="17"/>
      <c r="E159" s="17"/>
      <c r="F159" s="17"/>
      <c r="G159" s="17"/>
    </row>
    <row r="160" spans="2:7" ht="13.2" x14ac:dyDescent="0.25">
      <c r="B160" s="17"/>
      <c r="C160" s="17"/>
      <c r="D160" s="17"/>
      <c r="E160" s="17"/>
      <c r="F160" s="17"/>
      <c r="G160" s="17"/>
    </row>
    <row r="161" spans="2:7" ht="13.2" x14ac:dyDescent="0.25">
      <c r="B161" s="17"/>
      <c r="C161" s="17"/>
      <c r="D161" s="17"/>
      <c r="E161" s="17"/>
      <c r="F161" s="17"/>
      <c r="G161" s="17"/>
    </row>
    <row r="162" spans="2:7" ht="13.2" x14ac:dyDescent="0.25">
      <c r="B162" s="17"/>
      <c r="C162" s="17"/>
      <c r="D162" s="17"/>
      <c r="E162" s="17"/>
      <c r="F162" s="17"/>
      <c r="G162" s="17"/>
    </row>
    <row r="163" spans="2:7" ht="13.2" x14ac:dyDescent="0.25">
      <c r="B163" s="17"/>
      <c r="C163" s="17"/>
      <c r="D163" s="17"/>
      <c r="E163" s="17"/>
      <c r="F163" s="17"/>
      <c r="G163" s="17"/>
    </row>
    <row r="164" spans="2:7" ht="13.2" x14ac:dyDescent="0.25">
      <c r="B164" s="17"/>
      <c r="C164" s="17"/>
      <c r="D164" s="17"/>
      <c r="E164" s="17"/>
      <c r="F164" s="17"/>
      <c r="G164" s="17"/>
    </row>
    <row r="165" spans="2:7" ht="13.2" x14ac:dyDescent="0.25">
      <c r="B165" s="17"/>
      <c r="C165" s="17"/>
      <c r="D165" s="17"/>
      <c r="E165" s="17"/>
      <c r="F165" s="17"/>
      <c r="G165" s="17"/>
    </row>
    <row r="166" spans="2:7" ht="13.2" x14ac:dyDescent="0.25">
      <c r="B166" s="17"/>
      <c r="C166" s="17"/>
      <c r="D166" s="17"/>
      <c r="E166" s="17"/>
      <c r="F166" s="17"/>
      <c r="G166" s="17"/>
    </row>
    <row r="167" spans="2:7" ht="13.2" x14ac:dyDescent="0.25">
      <c r="B167" s="17"/>
      <c r="C167" s="17"/>
      <c r="D167" s="17"/>
      <c r="E167" s="17"/>
      <c r="F167" s="17"/>
      <c r="G167" s="17"/>
    </row>
    <row r="168" spans="2:7" ht="13.2" x14ac:dyDescent="0.25">
      <c r="B168" s="17"/>
      <c r="C168" s="17"/>
      <c r="D168" s="17"/>
      <c r="E168" s="17"/>
      <c r="F168" s="17"/>
      <c r="G168" s="17"/>
    </row>
    <row r="169" spans="2:7" ht="13.2" x14ac:dyDescent="0.25">
      <c r="B169" s="17"/>
      <c r="C169" s="17"/>
      <c r="D169" s="17"/>
      <c r="E169" s="17"/>
      <c r="F169" s="17"/>
      <c r="G169" s="17"/>
    </row>
    <row r="170" spans="2:7" ht="13.2" x14ac:dyDescent="0.25">
      <c r="B170" s="17"/>
      <c r="C170" s="17"/>
      <c r="D170" s="17"/>
      <c r="E170" s="17"/>
      <c r="F170" s="17"/>
      <c r="G170" s="17"/>
    </row>
    <row r="171" spans="2:7" ht="13.2" x14ac:dyDescent="0.25">
      <c r="B171" s="17"/>
      <c r="C171" s="17"/>
      <c r="D171" s="17"/>
      <c r="E171" s="17"/>
      <c r="F171" s="17"/>
      <c r="G171" s="17"/>
    </row>
    <row r="172" spans="2:7" ht="13.2" x14ac:dyDescent="0.25">
      <c r="B172" s="17"/>
      <c r="C172" s="17"/>
      <c r="D172" s="17"/>
      <c r="E172" s="17"/>
      <c r="F172" s="17"/>
      <c r="G172" s="17"/>
    </row>
    <row r="173" spans="2:7" ht="13.2" x14ac:dyDescent="0.25">
      <c r="B173" s="17"/>
      <c r="C173" s="17"/>
      <c r="D173" s="17"/>
      <c r="E173" s="17"/>
      <c r="F173" s="17"/>
      <c r="G173" s="17"/>
    </row>
    <row r="174" spans="2:7" ht="13.2" x14ac:dyDescent="0.25">
      <c r="B174" s="17"/>
      <c r="C174" s="17"/>
      <c r="D174" s="17"/>
      <c r="E174" s="17"/>
      <c r="F174" s="17"/>
      <c r="G174" s="17"/>
    </row>
    <row r="175" spans="2:7" ht="13.2" x14ac:dyDescent="0.25">
      <c r="B175" s="17"/>
      <c r="C175" s="17"/>
      <c r="D175" s="17"/>
      <c r="E175" s="17"/>
      <c r="F175" s="17"/>
      <c r="G175" s="17"/>
    </row>
    <row r="176" spans="2:7" ht="13.2" x14ac:dyDescent="0.25">
      <c r="B176" s="17"/>
      <c r="C176" s="17"/>
      <c r="D176" s="17"/>
      <c r="E176" s="17"/>
      <c r="F176" s="17"/>
      <c r="G176" s="17"/>
    </row>
    <row r="177" spans="2:7" ht="13.2" x14ac:dyDescent="0.25">
      <c r="B177" s="17"/>
      <c r="C177" s="17"/>
      <c r="D177" s="17"/>
      <c r="E177" s="17"/>
      <c r="F177" s="17"/>
      <c r="G177" s="17"/>
    </row>
    <row r="178" spans="2:7" ht="13.2" x14ac:dyDescent="0.25">
      <c r="B178" s="17"/>
      <c r="C178" s="17"/>
      <c r="D178" s="17"/>
      <c r="E178" s="17"/>
      <c r="F178" s="17"/>
      <c r="G178" s="17"/>
    </row>
    <row r="179" spans="2:7" ht="13.2" x14ac:dyDescent="0.25">
      <c r="B179" s="17"/>
      <c r="C179" s="17"/>
      <c r="D179" s="17"/>
      <c r="E179" s="17"/>
      <c r="F179" s="17"/>
      <c r="G179" s="17"/>
    </row>
    <row r="180" spans="2:7" ht="13.2" x14ac:dyDescent="0.25">
      <c r="B180" s="17"/>
      <c r="C180" s="17"/>
      <c r="D180" s="17"/>
      <c r="E180" s="17"/>
      <c r="F180" s="17"/>
      <c r="G180" s="17"/>
    </row>
    <row r="181" spans="2:7" ht="13.2" x14ac:dyDescent="0.25">
      <c r="B181" s="17"/>
      <c r="C181" s="17"/>
      <c r="D181" s="17"/>
      <c r="E181" s="17"/>
      <c r="F181" s="17"/>
      <c r="G181" s="17"/>
    </row>
    <row r="182" spans="2:7" ht="13.2" x14ac:dyDescent="0.25">
      <c r="B182" s="17"/>
      <c r="C182" s="17"/>
      <c r="D182" s="17"/>
      <c r="E182" s="17"/>
      <c r="F182" s="17"/>
      <c r="G182" s="17"/>
    </row>
    <row r="183" spans="2:7" ht="13.2" x14ac:dyDescent="0.25">
      <c r="B183" s="17"/>
      <c r="C183" s="17"/>
      <c r="D183" s="17"/>
      <c r="E183" s="17"/>
      <c r="F183" s="17"/>
      <c r="G183" s="17"/>
    </row>
    <row r="184" spans="2:7" ht="13.2" x14ac:dyDescent="0.25">
      <c r="B184" s="17"/>
      <c r="C184" s="17"/>
      <c r="D184" s="17"/>
      <c r="E184" s="17"/>
      <c r="F184" s="17"/>
      <c r="G184" s="17"/>
    </row>
    <row r="185" spans="2:7" ht="13.2" x14ac:dyDescent="0.25">
      <c r="B185" s="17"/>
      <c r="C185" s="17"/>
      <c r="D185" s="17"/>
      <c r="E185" s="17"/>
      <c r="F185" s="17"/>
      <c r="G185" s="17"/>
    </row>
    <row r="186" spans="2:7" ht="13.2" x14ac:dyDescent="0.25">
      <c r="B186" s="17"/>
      <c r="C186" s="17"/>
      <c r="D186" s="17"/>
      <c r="E186" s="17"/>
      <c r="F186" s="17"/>
      <c r="G186" s="17"/>
    </row>
    <row r="187" spans="2:7" ht="13.2" x14ac:dyDescent="0.25">
      <c r="B187" s="17"/>
      <c r="C187" s="17"/>
      <c r="D187" s="17"/>
      <c r="E187" s="17"/>
      <c r="F187" s="17"/>
      <c r="G187" s="17"/>
    </row>
    <row r="188" spans="2:7" ht="13.2" x14ac:dyDescent="0.25">
      <c r="B188" s="17"/>
      <c r="C188" s="17"/>
      <c r="D188" s="17"/>
      <c r="E188" s="17"/>
      <c r="F188" s="17"/>
      <c r="G188" s="17"/>
    </row>
    <row r="189" spans="2:7" ht="13.2" x14ac:dyDescent="0.25">
      <c r="B189" s="17"/>
      <c r="C189" s="17"/>
      <c r="D189" s="17"/>
      <c r="E189" s="17"/>
      <c r="F189" s="17"/>
      <c r="G189" s="17"/>
    </row>
    <row r="190" spans="2:7" ht="13.2" x14ac:dyDescent="0.25">
      <c r="B190" s="17"/>
      <c r="C190" s="17"/>
      <c r="D190" s="17"/>
      <c r="E190" s="17"/>
      <c r="F190" s="17"/>
      <c r="G190" s="17"/>
    </row>
    <row r="191" spans="2:7" ht="13.2" x14ac:dyDescent="0.25">
      <c r="B191" s="17"/>
      <c r="C191" s="17"/>
      <c r="D191" s="17"/>
      <c r="E191" s="17"/>
      <c r="F191" s="17"/>
      <c r="G191" s="17"/>
    </row>
    <row r="192" spans="2:7" ht="13.2" x14ac:dyDescent="0.25">
      <c r="B192" s="17"/>
      <c r="C192" s="17"/>
      <c r="D192" s="17"/>
      <c r="E192" s="17"/>
      <c r="F192" s="17"/>
      <c r="G192" s="17"/>
    </row>
    <row r="193" spans="2:7" ht="13.2" x14ac:dyDescent="0.25">
      <c r="B193" s="17"/>
      <c r="C193" s="17"/>
      <c r="D193" s="17"/>
      <c r="E193" s="17"/>
      <c r="F193" s="17"/>
      <c r="G193" s="17"/>
    </row>
    <row r="194" spans="2:7" ht="13.2" x14ac:dyDescent="0.25">
      <c r="B194" s="17"/>
      <c r="C194" s="17"/>
      <c r="D194" s="17"/>
      <c r="E194" s="17"/>
      <c r="F194" s="17"/>
      <c r="G194" s="17"/>
    </row>
    <row r="195" spans="2:7" ht="13.2" x14ac:dyDescent="0.25">
      <c r="B195" s="17"/>
      <c r="C195" s="17"/>
      <c r="D195" s="17"/>
      <c r="E195" s="17"/>
      <c r="F195" s="17"/>
      <c r="G195" s="17"/>
    </row>
    <row r="196" spans="2:7" ht="13.2" x14ac:dyDescent="0.25">
      <c r="B196" s="17"/>
      <c r="C196" s="17"/>
      <c r="D196" s="17"/>
      <c r="E196" s="17"/>
      <c r="F196" s="17"/>
      <c r="G196" s="17"/>
    </row>
    <row r="197" spans="2:7" ht="13.2" x14ac:dyDescent="0.25">
      <c r="B197" s="17"/>
      <c r="C197" s="17"/>
      <c r="D197" s="17"/>
      <c r="E197" s="17"/>
      <c r="F197" s="17"/>
      <c r="G197" s="17"/>
    </row>
    <row r="198" spans="2:7" ht="13.2" x14ac:dyDescent="0.25">
      <c r="B198" s="17"/>
      <c r="C198" s="17"/>
      <c r="D198" s="17"/>
      <c r="E198" s="17"/>
      <c r="F198" s="17"/>
      <c r="G198" s="17"/>
    </row>
    <row r="199" spans="2:7" ht="13.2" x14ac:dyDescent="0.25">
      <c r="B199" s="17"/>
      <c r="C199" s="17"/>
      <c r="D199" s="17"/>
      <c r="E199" s="17"/>
      <c r="F199" s="17"/>
      <c r="G199" s="17"/>
    </row>
    <row r="200" spans="2:7" ht="13.2" x14ac:dyDescent="0.25">
      <c r="B200" s="17"/>
      <c r="C200" s="17"/>
      <c r="D200" s="17"/>
      <c r="E200" s="17"/>
      <c r="F200" s="17"/>
      <c r="G200" s="17"/>
    </row>
    <row r="201" spans="2:7" ht="13.2" x14ac:dyDescent="0.25">
      <c r="B201" s="17"/>
      <c r="C201" s="17"/>
      <c r="D201" s="17"/>
      <c r="E201" s="17"/>
      <c r="F201" s="17"/>
      <c r="G201" s="17"/>
    </row>
    <row r="202" spans="2:7" ht="13.2" x14ac:dyDescent="0.25">
      <c r="B202" s="17"/>
      <c r="C202" s="17"/>
      <c r="D202" s="17"/>
      <c r="E202" s="17"/>
      <c r="F202" s="17"/>
      <c r="G202" s="17"/>
    </row>
    <row r="203" spans="2:7" ht="13.2" x14ac:dyDescent="0.25">
      <c r="B203" s="17"/>
      <c r="C203" s="17"/>
      <c r="D203" s="17"/>
      <c r="E203" s="17"/>
      <c r="F203" s="17"/>
      <c r="G203" s="17"/>
    </row>
    <row r="204" spans="2:7" ht="13.2" x14ac:dyDescent="0.25">
      <c r="B204" s="17"/>
      <c r="C204" s="17"/>
      <c r="D204" s="17"/>
      <c r="E204" s="17"/>
      <c r="F204" s="17"/>
      <c r="G204" s="17"/>
    </row>
    <row r="205" spans="2:7" ht="13.2" x14ac:dyDescent="0.25">
      <c r="B205" s="17"/>
      <c r="C205" s="17"/>
      <c r="D205" s="17"/>
      <c r="E205" s="17"/>
      <c r="F205" s="17"/>
      <c r="G205" s="17"/>
    </row>
    <row r="206" spans="2:7" ht="13.2" x14ac:dyDescent="0.25">
      <c r="B206" s="17"/>
      <c r="C206" s="17"/>
      <c r="D206" s="17"/>
      <c r="E206" s="17"/>
      <c r="F206" s="17"/>
      <c r="G206" s="17"/>
    </row>
    <row r="207" spans="2:7" ht="13.2" x14ac:dyDescent="0.25">
      <c r="B207" s="17"/>
      <c r="C207" s="17"/>
      <c r="D207" s="17"/>
      <c r="E207" s="17"/>
      <c r="F207" s="17"/>
      <c r="G207" s="17"/>
    </row>
    <row r="208" spans="2:7" ht="13.2" x14ac:dyDescent="0.25">
      <c r="B208" s="17"/>
      <c r="C208" s="17"/>
      <c r="D208" s="17"/>
      <c r="E208" s="17"/>
      <c r="F208" s="17"/>
      <c r="G208" s="17"/>
    </row>
    <row r="209" spans="2:7" ht="13.2" x14ac:dyDescent="0.25">
      <c r="B209" s="17"/>
      <c r="C209" s="17"/>
      <c r="D209" s="17"/>
      <c r="E209" s="17"/>
      <c r="F209" s="17"/>
      <c r="G209" s="17"/>
    </row>
    <row r="210" spans="2:7" ht="13.2" x14ac:dyDescent="0.25">
      <c r="B210" s="17"/>
      <c r="C210" s="17"/>
      <c r="D210" s="17"/>
      <c r="E210" s="17"/>
      <c r="F210" s="17"/>
      <c r="G210" s="17"/>
    </row>
    <row r="211" spans="2:7" ht="13.2" x14ac:dyDescent="0.25">
      <c r="B211" s="17"/>
      <c r="C211" s="17"/>
      <c r="D211" s="17"/>
      <c r="E211" s="17"/>
      <c r="F211" s="17"/>
      <c r="G211" s="17"/>
    </row>
    <row r="212" spans="2:7" ht="13.2" x14ac:dyDescent="0.25">
      <c r="B212" s="17"/>
      <c r="C212" s="17"/>
      <c r="D212" s="17"/>
      <c r="E212" s="17"/>
      <c r="F212" s="17"/>
      <c r="G212" s="17"/>
    </row>
    <row r="213" spans="2:7" ht="13.2" x14ac:dyDescent="0.25">
      <c r="B213" s="17"/>
      <c r="C213" s="17"/>
      <c r="D213" s="17"/>
      <c r="E213" s="17"/>
      <c r="F213" s="17"/>
      <c r="G213" s="17"/>
    </row>
    <row r="214" spans="2:7" ht="13.2" x14ac:dyDescent="0.25">
      <c r="B214" s="17"/>
      <c r="C214" s="17"/>
      <c r="D214" s="17"/>
      <c r="E214" s="17"/>
      <c r="F214" s="17"/>
      <c r="G214" s="17"/>
    </row>
    <row r="215" spans="2:7" ht="13.2" x14ac:dyDescent="0.25">
      <c r="B215" s="17"/>
      <c r="C215" s="17"/>
      <c r="D215" s="17"/>
      <c r="E215" s="17"/>
      <c r="F215" s="17"/>
      <c r="G215" s="17"/>
    </row>
    <row r="216" spans="2:7" ht="13.2" x14ac:dyDescent="0.25">
      <c r="B216" s="17"/>
      <c r="C216" s="17"/>
      <c r="D216" s="17"/>
      <c r="E216" s="17"/>
      <c r="F216" s="17"/>
      <c r="G216" s="17"/>
    </row>
    <row r="217" spans="2:7" ht="13.2" x14ac:dyDescent="0.25">
      <c r="B217" s="17"/>
      <c r="C217" s="17"/>
      <c r="D217" s="17"/>
      <c r="E217" s="17"/>
      <c r="F217" s="17"/>
      <c r="G217" s="17"/>
    </row>
    <row r="218" spans="2:7" ht="13.2" x14ac:dyDescent="0.25">
      <c r="B218" s="17"/>
      <c r="C218" s="17"/>
      <c r="D218" s="17"/>
      <c r="E218" s="17"/>
      <c r="F218" s="17"/>
      <c r="G218" s="17"/>
    </row>
    <row r="219" spans="2:7" ht="13.2" x14ac:dyDescent="0.25">
      <c r="B219" s="17"/>
      <c r="C219" s="17"/>
      <c r="D219" s="17"/>
      <c r="E219" s="17"/>
      <c r="F219" s="17"/>
      <c r="G219" s="17"/>
    </row>
    <row r="220" spans="2:7" ht="13.2" x14ac:dyDescent="0.25">
      <c r="B220" s="17"/>
      <c r="C220" s="17"/>
      <c r="D220" s="17"/>
      <c r="E220" s="17"/>
      <c r="F220" s="17"/>
      <c r="G220" s="17"/>
    </row>
    <row r="221" spans="2:7" ht="13.2" x14ac:dyDescent="0.25">
      <c r="B221" s="17"/>
      <c r="C221" s="17"/>
      <c r="D221" s="17"/>
      <c r="E221" s="17"/>
      <c r="F221" s="17"/>
      <c r="G221" s="17"/>
    </row>
    <row r="222" spans="2:7" ht="13.2" x14ac:dyDescent="0.25">
      <c r="B222" s="17"/>
      <c r="C222" s="17"/>
      <c r="D222" s="17"/>
      <c r="E222" s="17"/>
      <c r="F222" s="17"/>
      <c r="G222" s="17"/>
    </row>
    <row r="223" spans="2:7" ht="13.2" x14ac:dyDescent="0.25">
      <c r="B223" s="17"/>
      <c r="C223" s="17"/>
      <c r="D223" s="17"/>
      <c r="E223" s="17"/>
      <c r="F223" s="17"/>
      <c r="G223" s="17"/>
    </row>
    <row r="224" spans="2:7" ht="13.2" x14ac:dyDescent="0.25">
      <c r="B224" s="17"/>
      <c r="C224" s="17"/>
      <c r="D224" s="17"/>
      <c r="E224" s="17"/>
      <c r="F224" s="17"/>
      <c r="G224" s="17"/>
    </row>
    <row r="225" spans="2:7" ht="13.2" x14ac:dyDescent="0.25">
      <c r="B225" s="17"/>
      <c r="C225" s="17"/>
      <c r="D225" s="17"/>
      <c r="E225" s="17"/>
      <c r="F225" s="17"/>
      <c r="G225" s="17"/>
    </row>
    <row r="226" spans="2:7" ht="13.2" x14ac:dyDescent="0.25">
      <c r="B226" s="17"/>
      <c r="C226" s="17"/>
      <c r="D226" s="17"/>
      <c r="E226" s="17"/>
      <c r="F226" s="17"/>
      <c r="G226" s="17"/>
    </row>
    <row r="227" spans="2:7" ht="13.2" x14ac:dyDescent="0.25">
      <c r="B227" s="17"/>
      <c r="C227" s="17"/>
      <c r="D227" s="17"/>
      <c r="E227" s="17"/>
      <c r="F227" s="17"/>
      <c r="G227" s="17"/>
    </row>
    <row r="228" spans="2:7" ht="13.2" x14ac:dyDescent="0.25">
      <c r="B228" s="17"/>
      <c r="C228" s="17"/>
      <c r="D228" s="17"/>
      <c r="E228" s="17"/>
      <c r="F228" s="17"/>
      <c r="G228" s="17"/>
    </row>
    <row r="229" spans="2:7" ht="13.2" x14ac:dyDescent="0.25">
      <c r="B229" s="17"/>
      <c r="C229" s="17"/>
      <c r="D229" s="17"/>
      <c r="E229" s="17"/>
      <c r="F229" s="17"/>
      <c r="G229" s="17"/>
    </row>
    <row r="230" spans="2:7" ht="13.2" x14ac:dyDescent="0.25">
      <c r="B230" s="17"/>
      <c r="C230" s="17"/>
      <c r="D230" s="17"/>
      <c r="E230" s="17"/>
      <c r="F230" s="17"/>
      <c r="G230" s="17"/>
    </row>
    <row r="231" spans="2:7" ht="13.2" x14ac:dyDescent="0.25">
      <c r="B231" s="17"/>
      <c r="C231" s="17"/>
      <c r="D231" s="17"/>
      <c r="E231" s="17"/>
      <c r="F231" s="17"/>
      <c r="G231" s="17"/>
    </row>
    <row r="232" spans="2:7" ht="13.2" x14ac:dyDescent="0.25">
      <c r="B232" s="17"/>
      <c r="C232" s="17"/>
      <c r="D232" s="17"/>
      <c r="E232" s="17"/>
      <c r="F232" s="17"/>
      <c r="G232" s="17"/>
    </row>
    <row r="233" spans="2:7" ht="13.2" x14ac:dyDescent="0.25">
      <c r="B233" s="17"/>
      <c r="C233" s="17"/>
      <c r="D233" s="17"/>
      <c r="E233" s="17"/>
      <c r="F233" s="17"/>
      <c r="G233" s="17"/>
    </row>
    <row r="234" spans="2:7" ht="13.2" x14ac:dyDescent="0.25">
      <c r="B234" s="17"/>
      <c r="C234" s="17"/>
      <c r="D234" s="17"/>
      <c r="E234" s="17"/>
      <c r="F234" s="17"/>
      <c r="G234" s="17"/>
    </row>
    <row r="235" spans="2:7" ht="13.2" x14ac:dyDescent="0.25">
      <c r="B235" s="17"/>
      <c r="C235" s="17"/>
      <c r="D235" s="17"/>
      <c r="E235" s="17"/>
      <c r="F235" s="17"/>
      <c r="G235" s="17"/>
    </row>
    <row r="236" spans="2:7" ht="13.2" x14ac:dyDescent="0.25">
      <c r="B236" s="17"/>
      <c r="C236" s="17"/>
      <c r="D236" s="17"/>
      <c r="E236" s="17"/>
      <c r="F236" s="17"/>
      <c r="G236" s="17"/>
    </row>
    <row r="237" spans="2:7" ht="13.2" x14ac:dyDescent="0.25">
      <c r="B237" s="17"/>
      <c r="C237" s="17"/>
      <c r="D237" s="17"/>
      <c r="E237" s="17"/>
      <c r="F237" s="17"/>
      <c r="G237" s="17"/>
    </row>
    <row r="238" spans="2:7" ht="13.2" x14ac:dyDescent="0.25">
      <c r="B238" s="17"/>
      <c r="C238" s="17"/>
      <c r="D238" s="17"/>
      <c r="E238" s="17"/>
      <c r="F238" s="17"/>
      <c r="G238" s="17"/>
    </row>
    <row r="239" spans="2:7" ht="13.2" x14ac:dyDescent="0.25">
      <c r="B239" s="17"/>
      <c r="C239" s="17"/>
      <c r="D239" s="17"/>
      <c r="E239" s="17"/>
      <c r="F239" s="17"/>
      <c r="G239" s="17"/>
    </row>
    <row r="240" spans="2:7" ht="13.2" x14ac:dyDescent="0.25">
      <c r="B240" s="17"/>
      <c r="C240" s="17"/>
      <c r="D240" s="17"/>
      <c r="E240" s="17"/>
      <c r="F240" s="17"/>
      <c r="G240" s="17"/>
    </row>
    <row r="241" spans="2:7" ht="13.2" x14ac:dyDescent="0.25">
      <c r="B241" s="17"/>
      <c r="C241" s="17"/>
      <c r="D241" s="17"/>
      <c r="E241" s="17"/>
      <c r="F241" s="17"/>
      <c r="G241" s="17"/>
    </row>
    <row r="242" spans="2:7" ht="13.2" x14ac:dyDescent="0.25">
      <c r="B242" s="17"/>
      <c r="C242" s="17"/>
      <c r="D242" s="17"/>
      <c r="E242" s="17"/>
      <c r="F242" s="17"/>
      <c r="G242" s="17"/>
    </row>
    <row r="243" spans="2:7" ht="13.2" x14ac:dyDescent="0.25">
      <c r="B243" s="17"/>
      <c r="C243" s="17"/>
      <c r="D243" s="17"/>
      <c r="E243" s="17"/>
      <c r="F243" s="17"/>
      <c r="G243" s="17"/>
    </row>
    <row r="244" spans="2:7" ht="13.2" x14ac:dyDescent="0.25">
      <c r="B244" s="17"/>
      <c r="C244" s="17"/>
      <c r="D244" s="17"/>
      <c r="E244" s="17"/>
      <c r="F244" s="17"/>
      <c r="G244" s="17"/>
    </row>
    <row r="245" spans="2:7" ht="13.2" x14ac:dyDescent="0.25">
      <c r="B245" s="17"/>
      <c r="C245" s="17"/>
      <c r="D245" s="17"/>
      <c r="E245" s="17"/>
      <c r="F245" s="17"/>
      <c r="G245" s="17"/>
    </row>
    <row r="246" spans="2:7" ht="13.2" x14ac:dyDescent="0.25">
      <c r="B246" s="17"/>
      <c r="C246" s="17"/>
      <c r="D246" s="17"/>
      <c r="E246" s="17"/>
      <c r="F246" s="17"/>
      <c r="G246" s="17"/>
    </row>
    <row r="247" spans="2:7" ht="13.2" x14ac:dyDescent="0.25">
      <c r="B247" s="17"/>
      <c r="C247" s="17"/>
      <c r="D247" s="17"/>
      <c r="E247" s="17"/>
      <c r="F247" s="17"/>
      <c r="G247" s="17"/>
    </row>
    <row r="248" spans="2:7" ht="13.2" x14ac:dyDescent="0.25">
      <c r="B248" s="17"/>
      <c r="C248" s="17"/>
      <c r="D248" s="17"/>
      <c r="E248" s="17"/>
      <c r="F248" s="17"/>
      <c r="G248" s="17"/>
    </row>
    <row r="249" spans="2:7" ht="13.2" x14ac:dyDescent="0.25">
      <c r="B249" s="17"/>
      <c r="C249" s="17"/>
      <c r="D249" s="17"/>
      <c r="E249" s="17"/>
      <c r="F249" s="17"/>
      <c r="G249" s="17"/>
    </row>
    <row r="250" spans="2:7" ht="13.2" x14ac:dyDescent="0.25">
      <c r="B250" s="17"/>
      <c r="C250" s="17"/>
      <c r="D250" s="17"/>
      <c r="E250" s="17"/>
      <c r="F250" s="17"/>
      <c r="G250" s="17"/>
    </row>
    <row r="251" spans="2:7" ht="13.2" x14ac:dyDescent="0.25">
      <c r="B251" s="17"/>
      <c r="C251" s="17"/>
      <c r="D251" s="17"/>
      <c r="E251" s="17"/>
      <c r="F251" s="17"/>
      <c r="G251" s="17"/>
    </row>
    <row r="252" spans="2:7" ht="13.2" x14ac:dyDescent="0.25">
      <c r="B252" s="17"/>
      <c r="C252" s="17"/>
      <c r="D252" s="17"/>
      <c r="E252" s="17"/>
      <c r="F252" s="17"/>
      <c r="G252" s="17"/>
    </row>
    <row r="253" spans="2:7" ht="13.2" x14ac:dyDescent="0.25">
      <c r="B253" s="17"/>
      <c r="C253" s="17"/>
      <c r="D253" s="17"/>
      <c r="E253" s="17"/>
      <c r="F253" s="17"/>
      <c r="G253" s="17"/>
    </row>
    <row r="254" spans="2:7" ht="13.2" x14ac:dyDescent="0.25">
      <c r="B254" s="17"/>
      <c r="C254" s="17"/>
      <c r="D254" s="17"/>
      <c r="E254" s="17"/>
      <c r="F254" s="17"/>
      <c r="G254" s="17"/>
    </row>
    <row r="255" spans="2:7" ht="13.2" x14ac:dyDescent="0.25">
      <c r="B255" s="17"/>
      <c r="C255" s="17"/>
      <c r="D255" s="17"/>
      <c r="E255" s="17"/>
      <c r="F255" s="17"/>
      <c r="G255" s="17"/>
    </row>
    <row r="256" spans="2:7" ht="13.2" x14ac:dyDescent="0.25">
      <c r="B256" s="17"/>
      <c r="C256" s="17"/>
      <c r="D256" s="17"/>
      <c r="E256" s="17"/>
      <c r="F256" s="17"/>
      <c r="G256" s="17"/>
    </row>
    <row r="257" spans="2:7" ht="13.2" x14ac:dyDescent="0.25">
      <c r="B257" s="17"/>
      <c r="C257" s="17"/>
      <c r="D257" s="17"/>
      <c r="E257" s="17"/>
      <c r="F257" s="17"/>
      <c r="G257" s="17"/>
    </row>
    <row r="258" spans="2:7" ht="13.2" x14ac:dyDescent="0.25">
      <c r="B258" s="17"/>
      <c r="C258" s="17"/>
      <c r="D258" s="17"/>
      <c r="E258" s="17"/>
      <c r="F258" s="17"/>
      <c r="G258" s="17"/>
    </row>
    <row r="259" spans="2:7" ht="13.2" x14ac:dyDescent="0.25">
      <c r="B259" s="17"/>
      <c r="C259" s="17"/>
      <c r="D259" s="17"/>
      <c r="E259" s="17"/>
      <c r="F259" s="17"/>
      <c r="G259" s="17"/>
    </row>
    <row r="260" spans="2:7" ht="13.2" x14ac:dyDescent="0.25">
      <c r="B260" s="17"/>
      <c r="C260" s="17"/>
      <c r="D260" s="17"/>
      <c r="E260" s="17"/>
      <c r="F260" s="17"/>
      <c r="G260" s="17"/>
    </row>
    <row r="261" spans="2:7" ht="13.2" x14ac:dyDescent="0.25">
      <c r="B261" s="17"/>
      <c r="C261" s="17"/>
      <c r="D261" s="17"/>
      <c r="E261" s="17"/>
      <c r="F261" s="17"/>
      <c r="G261" s="17"/>
    </row>
    <row r="262" spans="2:7" ht="13.2" x14ac:dyDescent="0.25">
      <c r="B262" s="17"/>
      <c r="C262" s="17"/>
      <c r="D262" s="17"/>
      <c r="E262" s="17"/>
      <c r="F262" s="17"/>
      <c r="G262" s="17"/>
    </row>
    <row r="263" spans="2:7" ht="13.2" x14ac:dyDescent="0.25">
      <c r="B263" s="17"/>
      <c r="C263" s="17"/>
      <c r="D263" s="17"/>
      <c r="E263" s="17"/>
      <c r="F263" s="17"/>
      <c r="G263" s="17"/>
    </row>
    <row r="264" spans="2:7" ht="13.2" x14ac:dyDescent="0.25">
      <c r="B264" s="17"/>
      <c r="C264" s="17"/>
      <c r="D264" s="17"/>
      <c r="E264" s="17"/>
      <c r="F264" s="17"/>
      <c r="G264" s="17"/>
    </row>
    <row r="265" spans="2:7" ht="13.2" x14ac:dyDescent="0.25">
      <c r="B265" s="17"/>
      <c r="C265" s="17"/>
      <c r="D265" s="17"/>
      <c r="E265" s="17"/>
      <c r="F265" s="17"/>
      <c r="G265" s="17"/>
    </row>
    <row r="266" spans="2:7" ht="13.2" x14ac:dyDescent="0.25">
      <c r="B266" s="17"/>
      <c r="C266" s="17"/>
      <c r="D266" s="17"/>
      <c r="E266" s="17"/>
      <c r="F266" s="17"/>
      <c r="G266" s="17"/>
    </row>
    <row r="267" spans="2:7" ht="13.2" x14ac:dyDescent="0.25">
      <c r="B267" s="17"/>
      <c r="C267" s="17"/>
      <c r="D267" s="17"/>
      <c r="E267" s="17"/>
      <c r="F267" s="17"/>
      <c r="G267" s="17"/>
    </row>
    <row r="268" spans="2:7" ht="13.2" x14ac:dyDescent="0.25">
      <c r="B268" s="17"/>
      <c r="C268" s="17"/>
      <c r="D268" s="17"/>
      <c r="E268" s="17"/>
      <c r="F268" s="17"/>
      <c r="G268" s="17"/>
    </row>
    <row r="269" spans="2:7" ht="13.2" x14ac:dyDescent="0.25">
      <c r="B269" s="17"/>
      <c r="C269" s="17"/>
      <c r="D269" s="17"/>
      <c r="E269" s="17"/>
      <c r="F269" s="17"/>
      <c r="G269" s="17"/>
    </row>
    <row r="270" spans="2:7" ht="13.2" x14ac:dyDescent="0.25">
      <c r="B270" s="17"/>
      <c r="C270" s="17"/>
      <c r="D270" s="17"/>
      <c r="E270" s="17"/>
      <c r="F270" s="17"/>
      <c r="G270" s="17"/>
    </row>
    <row r="271" spans="2:7" ht="13.2" x14ac:dyDescent="0.25">
      <c r="B271" s="17"/>
      <c r="C271" s="17"/>
      <c r="D271" s="17"/>
      <c r="E271" s="17"/>
      <c r="F271" s="17"/>
      <c r="G271" s="17"/>
    </row>
    <row r="272" spans="2:7" ht="13.2" x14ac:dyDescent="0.25">
      <c r="B272" s="17"/>
      <c r="C272" s="17"/>
      <c r="D272" s="17"/>
      <c r="E272" s="17"/>
      <c r="F272" s="17"/>
      <c r="G272" s="17"/>
    </row>
    <row r="273" spans="2:7" ht="13.2" x14ac:dyDescent="0.25">
      <c r="B273" s="17"/>
      <c r="C273" s="17"/>
      <c r="D273" s="17"/>
      <c r="E273" s="17"/>
      <c r="F273" s="17"/>
      <c r="G273" s="17"/>
    </row>
    <row r="274" spans="2:7" ht="13.2" x14ac:dyDescent="0.25">
      <c r="B274" s="17"/>
      <c r="C274" s="17"/>
      <c r="D274" s="17"/>
      <c r="E274" s="17"/>
      <c r="F274" s="17"/>
      <c r="G274" s="17"/>
    </row>
    <row r="275" spans="2:7" ht="13.2" x14ac:dyDescent="0.25">
      <c r="B275" s="17"/>
      <c r="C275" s="17"/>
      <c r="D275" s="17"/>
      <c r="E275" s="17"/>
      <c r="F275" s="17"/>
      <c r="G275" s="17"/>
    </row>
    <row r="276" spans="2:7" ht="13.2" x14ac:dyDescent="0.25">
      <c r="B276" s="17"/>
      <c r="C276" s="17"/>
      <c r="D276" s="17"/>
      <c r="E276" s="17"/>
      <c r="F276" s="17"/>
      <c r="G276" s="17"/>
    </row>
    <row r="277" spans="2:7" ht="13.2" x14ac:dyDescent="0.25">
      <c r="B277" s="17"/>
      <c r="C277" s="17"/>
      <c r="D277" s="17"/>
      <c r="E277" s="17"/>
      <c r="F277" s="17"/>
      <c r="G277" s="17"/>
    </row>
    <row r="278" spans="2:7" ht="13.2" x14ac:dyDescent="0.25">
      <c r="B278" s="17"/>
      <c r="C278" s="17"/>
      <c r="D278" s="17"/>
      <c r="E278" s="17"/>
      <c r="F278" s="17"/>
      <c r="G278" s="17"/>
    </row>
    <row r="279" spans="2:7" ht="13.2" x14ac:dyDescent="0.25">
      <c r="B279" s="17"/>
      <c r="C279" s="17"/>
      <c r="D279" s="17"/>
      <c r="E279" s="17"/>
      <c r="F279" s="17"/>
      <c r="G279" s="17"/>
    </row>
    <row r="280" spans="2:7" ht="13.2" x14ac:dyDescent="0.25">
      <c r="B280" s="17"/>
      <c r="C280" s="17"/>
      <c r="D280" s="17"/>
      <c r="E280" s="17"/>
      <c r="F280" s="17"/>
      <c r="G280" s="17"/>
    </row>
    <row r="281" spans="2:7" ht="13.2" x14ac:dyDescent="0.25">
      <c r="B281" s="17"/>
      <c r="C281" s="17"/>
      <c r="D281" s="17"/>
      <c r="E281" s="17"/>
      <c r="F281" s="17"/>
      <c r="G281" s="17"/>
    </row>
    <row r="282" spans="2:7" ht="13.2" x14ac:dyDescent="0.25">
      <c r="B282" s="17"/>
      <c r="C282" s="17"/>
      <c r="D282" s="17"/>
      <c r="E282" s="17"/>
      <c r="F282" s="17"/>
      <c r="G282" s="17"/>
    </row>
    <row r="283" spans="2:7" ht="13.2" x14ac:dyDescent="0.25">
      <c r="B283" s="17"/>
      <c r="C283" s="17"/>
      <c r="D283" s="17"/>
      <c r="E283" s="17"/>
      <c r="F283" s="17"/>
      <c r="G283" s="17"/>
    </row>
    <row r="284" spans="2:7" ht="13.2" x14ac:dyDescent="0.25">
      <c r="B284" s="17"/>
      <c r="C284" s="17"/>
      <c r="D284" s="17"/>
      <c r="E284" s="17"/>
      <c r="F284" s="17"/>
      <c r="G284" s="17"/>
    </row>
    <row r="285" spans="2:7" ht="13.2" x14ac:dyDescent="0.25">
      <c r="B285" s="17"/>
      <c r="C285" s="17"/>
      <c r="D285" s="17"/>
      <c r="E285" s="17"/>
      <c r="F285" s="17"/>
      <c r="G285" s="17"/>
    </row>
    <row r="286" spans="2:7" ht="13.2" x14ac:dyDescent="0.25">
      <c r="B286" s="17"/>
      <c r="C286" s="17"/>
      <c r="D286" s="17"/>
      <c r="E286" s="17"/>
      <c r="F286" s="17"/>
      <c r="G286" s="17"/>
    </row>
    <row r="287" spans="2:7" ht="13.2" x14ac:dyDescent="0.25">
      <c r="B287" s="17"/>
      <c r="C287" s="17"/>
      <c r="D287" s="17"/>
      <c r="E287" s="17"/>
      <c r="F287" s="17"/>
      <c r="G287" s="17"/>
    </row>
    <row r="288" spans="2:7" ht="13.2" x14ac:dyDescent="0.25">
      <c r="B288" s="17"/>
      <c r="C288" s="17"/>
      <c r="D288" s="17"/>
      <c r="E288" s="17"/>
      <c r="F288" s="17"/>
      <c r="G288" s="17"/>
    </row>
    <row r="289" spans="2:7" ht="13.2" x14ac:dyDescent="0.25">
      <c r="B289" s="17"/>
      <c r="C289" s="17"/>
      <c r="D289" s="17"/>
      <c r="E289" s="17"/>
      <c r="F289" s="17"/>
      <c r="G289" s="17"/>
    </row>
    <row r="290" spans="2:7" ht="13.2" x14ac:dyDescent="0.25">
      <c r="B290" s="17"/>
      <c r="C290" s="17"/>
      <c r="D290" s="17"/>
      <c r="E290" s="17"/>
      <c r="F290" s="17"/>
      <c r="G290" s="17"/>
    </row>
    <row r="291" spans="2:7" ht="13.2" x14ac:dyDescent="0.25">
      <c r="B291" s="17"/>
      <c r="C291" s="17"/>
      <c r="D291" s="17"/>
      <c r="E291" s="17"/>
      <c r="F291" s="17"/>
      <c r="G291" s="17"/>
    </row>
    <row r="292" spans="2:7" ht="13.2" x14ac:dyDescent="0.25">
      <c r="B292" s="17"/>
      <c r="C292" s="17"/>
      <c r="D292" s="17"/>
      <c r="E292" s="17"/>
      <c r="F292" s="17"/>
      <c r="G292" s="17"/>
    </row>
    <row r="293" spans="2:7" ht="13.2" x14ac:dyDescent="0.25">
      <c r="B293" s="17"/>
      <c r="C293" s="17"/>
      <c r="D293" s="17"/>
      <c r="E293" s="17"/>
      <c r="F293" s="17"/>
      <c r="G293" s="17"/>
    </row>
    <row r="294" spans="2:7" ht="13.2" x14ac:dyDescent="0.25">
      <c r="B294" s="17"/>
      <c r="C294" s="17"/>
      <c r="D294" s="17"/>
      <c r="E294" s="17"/>
      <c r="F294" s="17"/>
      <c r="G294" s="17"/>
    </row>
    <row r="295" spans="2:7" ht="13.2" x14ac:dyDescent="0.25">
      <c r="B295" s="17"/>
      <c r="C295" s="17"/>
      <c r="D295" s="17"/>
      <c r="E295" s="17"/>
      <c r="F295" s="17"/>
      <c r="G295" s="17"/>
    </row>
    <row r="296" spans="2:7" ht="13.2" x14ac:dyDescent="0.25">
      <c r="B296" s="17"/>
      <c r="C296" s="17"/>
      <c r="D296" s="17"/>
      <c r="E296" s="17"/>
      <c r="F296" s="17"/>
      <c r="G296" s="17"/>
    </row>
    <row r="297" spans="2:7" ht="13.2" x14ac:dyDescent="0.25">
      <c r="B297" s="17"/>
      <c r="C297" s="17"/>
      <c r="D297" s="17"/>
      <c r="E297" s="17"/>
      <c r="F297" s="17"/>
      <c r="G297" s="17"/>
    </row>
    <row r="298" spans="2:7" ht="13.2" x14ac:dyDescent="0.25">
      <c r="B298" s="17"/>
      <c r="C298" s="17"/>
      <c r="D298" s="17"/>
      <c r="E298" s="17"/>
      <c r="F298" s="17"/>
      <c r="G298" s="17"/>
    </row>
    <row r="299" spans="2:7" ht="13.2" x14ac:dyDescent="0.25">
      <c r="B299" s="17"/>
      <c r="C299" s="17"/>
      <c r="D299" s="17"/>
      <c r="E299" s="17"/>
      <c r="F299" s="17"/>
      <c r="G299" s="17"/>
    </row>
    <row r="300" spans="2:7" ht="13.2" x14ac:dyDescent="0.25">
      <c r="B300" s="17"/>
      <c r="C300" s="17"/>
      <c r="D300" s="17"/>
      <c r="E300" s="17"/>
      <c r="F300" s="17"/>
      <c r="G300" s="17"/>
    </row>
    <row r="301" spans="2:7" ht="13.2" x14ac:dyDescent="0.25">
      <c r="B301" s="17"/>
      <c r="C301" s="17"/>
      <c r="D301" s="17"/>
      <c r="E301" s="17"/>
      <c r="F301" s="17"/>
      <c r="G301" s="17"/>
    </row>
    <row r="302" spans="2:7" ht="13.2" x14ac:dyDescent="0.25">
      <c r="B302" s="17"/>
      <c r="C302" s="17"/>
      <c r="D302" s="17"/>
      <c r="E302" s="17"/>
      <c r="F302" s="17"/>
      <c r="G302" s="17"/>
    </row>
    <row r="303" spans="2:7" ht="13.2" x14ac:dyDescent="0.25">
      <c r="B303" s="17"/>
      <c r="C303" s="17"/>
      <c r="D303" s="17"/>
      <c r="E303" s="17"/>
      <c r="F303" s="17"/>
      <c r="G303" s="17"/>
    </row>
    <row r="304" spans="2:7" ht="13.2" x14ac:dyDescent="0.25">
      <c r="B304" s="17"/>
      <c r="C304" s="17"/>
      <c r="D304" s="17"/>
      <c r="E304" s="17"/>
      <c r="F304" s="17"/>
      <c r="G304" s="17"/>
    </row>
    <row r="305" spans="2:7" ht="13.2" x14ac:dyDescent="0.25">
      <c r="B305" s="17"/>
      <c r="C305" s="17"/>
      <c r="D305" s="17"/>
      <c r="E305" s="17"/>
      <c r="F305" s="17"/>
      <c r="G305" s="17"/>
    </row>
    <row r="306" spans="2:7" ht="13.2" x14ac:dyDescent="0.25">
      <c r="B306" s="17"/>
      <c r="C306" s="17"/>
      <c r="D306" s="17"/>
      <c r="E306" s="17"/>
      <c r="F306" s="17"/>
      <c r="G306" s="17"/>
    </row>
    <row r="307" spans="2:7" ht="13.2" x14ac:dyDescent="0.25">
      <c r="B307" s="17"/>
      <c r="C307" s="17"/>
      <c r="D307" s="17"/>
      <c r="E307" s="17"/>
      <c r="F307" s="17"/>
      <c r="G307" s="17"/>
    </row>
    <row r="308" spans="2:7" ht="13.2" x14ac:dyDescent="0.25">
      <c r="B308" s="17"/>
      <c r="C308" s="17"/>
      <c r="D308" s="17"/>
      <c r="E308" s="17"/>
      <c r="F308" s="17"/>
      <c r="G308" s="17"/>
    </row>
    <row r="309" spans="2:7" ht="13.2" x14ac:dyDescent="0.25">
      <c r="B309" s="17"/>
      <c r="C309" s="17"/>
      <c r="D309" s="17"/>
      <c r="E309" s="17"/>
      <c r="F309" s="17"/>
      <c r="G309" s="17"/>
    </row>
    <row r="310" spans="2:7" ht="13.2" x14ac:dyDescent="0.25">
      <c r="B310" s="17"/>
      <c r="C310" s="17"/>
      <c r="D310" s="17"/>
      <c r="E310" s="17"/>
      <c r="F310" s="17"/>
      <c r="G310" s="17"/>
    </row>
    <row r="311" spans="2:7" ht="13.2" x14ac:dyDescent="0.25">
      <c r="B311" s="17"/>
      <c r="C311" s="17"/>
      <c r="D311" s="17"/>
      <c r="E311" s="17"/>
      <c r="F311" s="17"/>
      <c r="G311" s="17"/>
    </row>
    <row r="312" spans="2:7" ht="13.2" x14ac:dyDescent="0.25">
      <c r="B312" s="17"/>
      <c r="C312" s="17"/>
      <c r="D312" s="17"/>
      <c r="E312" s="17"/>
      <c r="F312" s="17"/>
      <c r="G312" s="17"/>
    </row>
    <row r="313" spans="2:7" ht="13.2" x14ac:dyDescent="0.25">
      <c r="B313" s="17"/>
      <c r="C313" s="17"/>
      <c r="D313" s="17"/>
      <c r="E313" s="17"/>
      <c r="F313" s="17"/>
      <c r="G313" s="17"/>
    </row>
    <row r="314" spans="2:7" ht="13.2" x14ac:dyDescent="0.25">
      <c r="B314" s="17"/>
      <c r="C314" s="17"/>
      <c r="D314" s="17"/>
      <c r="E314" s="17"/>
      <c r="F314" s="17"/>
      <c r="G314" s="17"/>
    </row>
    <row r="315" spans="2:7" ht="13.2" x14ac:dyDescent="0.25">
      <c r="B315" s="17"/>
      <c r="C315" s="17"/>
      <c r="D315" s="17"/>
      <c r="E315" s="17"/>
      <c r="F315" s="17"/>
      <c r="G315" s="17"/>
    </row>
    <row r="316" spans="2:7" ht="13.2" x14ac:dyDescent="0.25">
      <c r="B316" s="17"/>
      <c r="C316" s="17"/>
      <c r="D316" s="17"/>
      <c r="E316" s="17"/>
      <c r="F316" s="17"/>
      <c r="G316" s="17"/>
    </row>
    <row r="317" spans="2:7" ht="13.2" x14ac:dyDescent="0.25">
      <c r="B317" s="17"/>
      <c r="C317" s="17"/>
      <c r="D317" s="17"/>
      <c r="E317" s="17"/>
      <c r="F317" s="17"/>
      <c r="G317" s="17"/>
    </row>
    <row r="318" spans="2:7" ht="13.2" x14ac:dyDescent="0.25">
      <c r="B318" s="17"/>
      <c r="C318" s="17"/>
      <c r="D318" s="17"/>
      <c r="E318" s="17"/>
      <c r="F318" s="17"/>
      <c r="G318" s="17"/>
    </row>
    <row r="319" spans="2:7" ht="13.2" x14ac:dyDescent="0.25">
      <c r="B319" s="17"/>
      <c r="C319" s="17"/>
      <c r="D319" s="17"/>
      <c r="E319" s="17"/>
      <c r="F319" s="17"/>
      <c r="G319" s="17"/>
    </row>
    <row r="320" spans="2:7" ht="13.2" x14ac:dyDescent="0.25">
      <c r="B320" s="17"/>
      <c r="C320" s="17"/>
      <c r="D320" s="17"/>
      <c r="E320" s="17"/>
      <c r="F320" s="17"/>
      <c r="G320" s="17"/>
    </row>
    <row r="321" spans="2:7" ht="13.2" x14ac:dyDescent="0.25">
      <c r="B321" s="17"/>
      <c r="C321" s="17"/>
      <c r="D321" s="17"/>
      <c r="E321" s="17"/>
      <c r="F321" s="17"/>
      <c r="G321" s="17"/>
    </row>
    <row r="322" spans="2:7" ht="13.2" x14ac:dyDescent="0.25">
      <c r="B322" s="17"/>
      <c r="C322" s="17"/>
      <c r="D322" s="17"/>
      <c r="E322" s="17"/>
      <c r="F322" s="17"/>
      <c r="G322" s="17"/>
    </row>
    <row r="323" spans="2:7" ht="13.2" x14ac:dyDescent="0.25">
      <c r="B323" s="17"/>
      <c r="C323" s="17"/>
      <c r="D323" s="17"/>
      <c r="E323" s="17"/>
      <c r="F323" s="17"/>
      <c r="G323" s="17"/>
    </row>
    <row r="324" spans="2:7" ht="13.2" x14ac:dyDescent="0.25">
      <c r="B324" s="17"/>
      <c r="C324" s="17"/>
      <c r="D324" s="17"/>
      <c r="E324" s="17"/>
      <c r="F324" s="17"/>
      <c r="G324" s="17"/>
    </row>
    <row r="325" spans="2:7" ht="13.2" x14ac:dyDescent="0.25">
      <c r="B325" s="17"/>
      <c r="C325" s="17"/>
      <c r="D325" s="17"/>
      <c r="E325" s="17"/>
      <c r="F325" s="17"/>
      <c r="G325" s="17"/>
    </row>
    <row r="326" spans="2:7" ht="13.2" x14ac:dyDescent="0.25">
      <c r="B326" s="17"/>
      <c r="C326" s="17"/>
      <c r="D326" s="17"/>
      <c r="E326" s="17"/>
      <c r="F326" s="17"/>
      <c r="G326" s="17"/>
    </row>
    <row r="327" spans="2:7" ht="13.2" x14ac:dyDescent="0.25">
      <c r="B327" s="17"/>
      <c r="C327" s="17"/>
      <c r="D327" s="17"/>
      <c r="E327" s="17"/>
      <c r="F327" s="17"/>
      <c r="G327" s="17"/>
    </row>
    <row r="328" spans="2:7" ht="13.2" x14ac:dyDescent="0.25">
      <c r="B328" s="17"/>
      <c r="C328" s="17"/>
      <c r="D328" s="17"/>
      <c r="E328" s="17"/>
      <c r="F328" s="17"/>
      <c r="G328" s="17"/>
    </row>
    <row r="329" spans="2:7" ht="13.2" x14ac:dyDescent="0.25">
      <c r="B329" s="17"/>
      <c r="C329" s="17"/>
      <c r="D329" s="17"/>
      <c r="E329" s="17"/>
      <c r="F329" s="17"/>
      <c r="G329" s="17"/>
    </row>
    <row r="330" spans="2:7" ht="13.2" x14ac:dyDescent="0.25">
      <c r="B330" s="17"/>
      <c r="C330" s="17"/>
      <c r="D330" s="17"/>
      <c r="E330" s="17"/>
      <c r="F330" s="17"/>
      <c r="G330" s="17"/>
    </row>
    <row r="331" spans="2:7" ht="13.2" x14ac:dyDescent="0.25">
      <c r="B331" s="17"/>
      <c r="C331" s="17"/>
      <c r="D331" s="17"/>
      <c r="E331" s="17"/>
      <c r="F331" s="17"/>
      <c r="G331" s="17"/>
    </row>
    <row r="332" spans="2:7" ht="13.2" x14ac:dyDescent="0.25">
      <c r="B332" s="17"/>
      <c r="C332" s="17"/>
      <c r="D332" s="17"/>
      <c r="E332" s="17"/>
      <c r="F332" s="17"/>
      <c r="G332" s="17"/>
    </row>
    <row r="333" spans="2:7" ht="13.2" x14ac:dyDescent="0.25">
      <c r="B333" s="17"/>
      <c r="C333" s="17"/>
      <c r="D333" s="17"/>
      <c r="E333" s="17"/>
      <c r="F333" s="17"/>
      <c r="G333" s="17"/>
    </row>
    <row r="334" spans="2:7" ht="13.2" x14ac:dyDescent="0.25">
      <c r="B334" s="17"/>
      <c r="C334" s="17"/>
      <c r="D334" s="17"/>
      <c r="E334" s="17"/>
      <c r="F334" s="17"/>
      <c r="G334" s="17"/>
    </row>
    <row r="335" spans="2:7" ht="13.2" x14ac:dyDescent="0.25">
      <c r="B335" s="17"/>
      <c r="C335" s="17"/>
      <c r="D335" s="17"/>
      <c r="E335" s="17"/>
      <c r="F335" s="17"/>
      <c r="G335" s="17"/>
    </row>
    <row r="336" spans="2:7" ht="13.2" x14ac:dyDescent="0.25">
      <c r="B336" s="17"/>
      <c r="C336" s="17"/>
      <c r="D336" s="17"/>
      <c r="E336" s="17"/>
      <c r="F336" s="17"/>
      <c r="G336" s="17"/>
    </row>
    <row r="337" spans="2:7" ht="13.2" x14ac:dyDescent="0.25">
      <c r="B337" s="17"/>
      <c r="C337" s="17"/>
      <c r="D337" s="17"/>
      <c r="E337" s="17"/>
      <c r="F337" s="17"/>
      <c r="G337" s="17"/>
    </row>
    <row r="338" spans="2:7" ht="13.2" x14ac:dyDescent="0.25">
      <c r="B338" s="17"/>
      <c r="C338" s="17"/>
      <c r="D338" s="17"/>
      <c r="E338" s="17"/>
      <c r="F338" s="17"/>
      <c r="G338" s="17"/>
    </row>
    <row r="339" spans="2:7" ht="13.2" x14ac:dyDescent="0.25">
      <c r="B339" s="17"/>
      <c r="C339" s="17"/>
      <c r="D339" s="17"/>
      <c r="E339" s="17"/>
      <c r="F339" s="17"/>
      <c r="G339" s="17"/>
    </row>
    <row r="340" spans="2:7" ht="13.2" x14ac:dyDescent="0.25">
      <c r="B340" s="17"/>
      <c r="C340" s="17"/>
      <c r="D340" s="17"/>
      <c r="E340" s="17"/>
      <c r="F340" s="17"/>
      <c r="G340" s="17"/>
    </row>
    <row r="341" spans="2:7" ht="13.2" x14ac:dyDescent="0.25">
      <c r="B341" s="17"/>
      <c r="C341" s="17"/>
      <c r="D341" s="17"/>
      <c r="E341" s="17"/>
      <c r="F341" s="17"/>
      <c r="G341" s="17"/>
    </row>
    <row r="342" spans="2:7" ht="13.2" x14ac:dyDescent="0.25">
      <c r="B342" s="17"/>
      <c r="C342" s="17"/>
      <c r="D342" s="17"/>
      <c r="E342" s="17"/>
      <c r="F342" s="17"/>
      <c r="G342" s="17"/>
    </row>
    <row r="343" spans="2:7" ht="13.2" x14ac:dyDescent="0.25">
      <c r="B343" s="17"/>
      <c r="C343" s="17"/>
      <c r="D343" s="17"/>
      <c r="E343" s="17"/>
      <c r="F343" s="17"/>
      <c r="G343" s="17"/>
    </row>
    <row r="344" spans="2:7" ht="13.2" x14ac:dyDescent="0.25">
      <c r="B344" s="17"/>
      <c r="C344" s="17"/>
      <c r="D344" s="17"/>
      <c r="E344" s="17"/>
      <c r="F344" s="17"/>
      <c r="G344" s="17"/>
    </row>
    <row r="345" spans="2:7" ht="13.2" x14ac:dyDescent="0.25">
      <c r="B345" s="17"/>
      <c r="C345" s="17"/>
      <c r="D345" s="17"/>
      <c r="E345" s="17"/>
      <c r="F345" s="17"/>
      <c r="G345" s="17"/>
    </row>
    <row r="346" spans="2:7" ht="13.2" x14ac:dyDescent="0.25">
      <c r="B346" s="17"/>
      <c r="C346" s="17"/>
      <c r="D346" s="17"/>
      <c r="E346" s="17"/>
      <c r="F346" s="17"/>
      <c r="G346" s="17"/>
    </row>
    <row r="347" spans="2:7" ht="13.2" x14ac:dyDescent="0.25">
      <c r="B347" s="17"/>
      <c r="C347" s="17"/>
      <c r="D347" s="17"/>
      <c r="E347" s="17"/>
      <c r="F347" s="17"/>
      <c r="G347" s="17"/>
    </row>
    <row r="348" spans="2:7" ht="13.2" x14ac:dyDescent="0.25">
      <c r="B348" s="17"/>
      <c r="C348" s="17"/>
      <c r="D348" s="17"/>
      <c r="E348" s="17"/>
      <c r="F348" s="17"/>
      <c r="G348" s="17"/>
    </row>
    <row r="349" spans="2:7" ht="13.2" x14ac:dyDescent="0.25">
      <c r="B349" s="17"/>
      <c r="C349" s="17"/>
      <c r="D349" s="17"/>
      <c r="E349" s="17"/>
      <c r="F349" s="17"/>
      <c r="G349" s="17"/>
    </row>
    <row r="350" spans="2:7" ht="13.2" x14ac:dyDescent="0.25">
      <c r="B350" s="17"/>
      <c r="C350" s="17"/>
      <c r="D350" s="17"/>
      <c r="E350" s="17"/>
      <c r="F350" s="17"/>
      <c r="G350" s="17"/>
    </row>
    <row r="351" spans="2:7" ht="13.2" x14ac:dyDescent="0.25">
      <c r="B351" s="17"/>
      <c r="C351" s="17"/>
      <c r="D351" s="17"/>
      <c r="E351" s="17"/>
      <c r="F351" s="17"/>
      <c r="G351" s="17"/>
    </row>
    <row r="352" spans="2:7" ht="13.2" x14ac:dyDescent="0.25">
      <c r="B352" s="17"/>
      <c r="C352" s="17"/>
      <c r="D352" s="17"/>
      <c r="E352" s="17"/>
      <c r="F352" s="17"/>
      <c r="G352" s="17"/>
    </row>
    <row r="353" spans="2:7" ht="13.2" x14ac:dyDescent="0.25">
      <c r="B353" s="17"/>
      <c r="C353" s="17"/>
      <c r="D353" s="17"/>
      <c r="E353" s="17"/>
      <c r="F353" s="17"/>
      <c r="G353" s="17"/>
    </row>
    <row r="354" spans="2:7" ht="13.2" x14ac:dyDescent="0.25">
      <c r="B354" s="17"/>
      <c r="C354" s="17"/>
      <c r="D354" s="17"/>
      <c r="E354" s="17"/>
      <c r="F354" s="17"/>
      <c r="G354" s="17"/>
    </row>
    <row r="355" spans="2:7" ht="13.2" x14ac:dyDescent="0.25">
      <c r="B355" s="17"/>
      <c r="C355" s="17"/>
      <c r="D355" s="17"/>
      <c r="E355" s="17"/>
      <c r="F355" s="17"/>
      <c r="G355" s="17"/>
    </row>
    <row r="356" spans="2:7" ht="13.2" x14ac:dyDescent="0.25">
      <c r="B356" s="17"/>
      <c r="C356" s="17"/>
      <c r="D356" s="17"/>
      <c r="E356" s="17"/>
      <c r="F356" s="17"/>
      <c r="G356" s="17"/>
    </row>
    <row r="357" spans="2:7" ht="13.2" x14ac:dyDescent="0.25">
      <c r="B357" s="17"/>
      <c r="C357" s="17"/>
      <c r="D357" s="17"/>
      <c r="E357" s="17"/>
      <c r="F357" s="17"/>
      <c r="G357" s="17"/>
    </row>
    <row r="358" spans="2:7" ht="13.2" x14ac:dyDescent="0.25">
      <c r="B358" s="17"/>
      <c r="C358" s="17"/>
      <c r="D358" s="17"/>
      <c r="E358" s="17"/>
      <c r="F358" s="17"/>
      <c r="G358" s="17"/>
    </row>
    <row r="359" spans="2:7" ht="13.2" x14ac:dyDescent="0.25">
      <c r="B359" s="17"/>
      <c r="C359" s="17"/>
      <c r="D359" s="17"/>
      <c r="E359" s="17"/>
      <c r="F359" s="17"/>
      <c r="G359" s="17"/>
    </row>
    <row r="360" spans="2:7" ht="13.2" x14ac:dyDescent="0.25">
      <c r="B360" s="17"/>
      <c r="C360" s="17"/>
      <c r="D360" s="17"/>
      <c r="E360" s="17"/>
      <c r="F360" s="17"/>
      <c r="G360" s="17"/>
    </row>
    <row r="361" spans="2:7" ht="13.2" x14ac:dyDescent="0.25">
      <c r="B361" s="17"/>
      <c r="C361" s="17"/>
      <c r="D361" s="17"/>
      <c r="E361" s="17"/>
      <c r="F361" s="17"/>
      <c r="G361" s="17"/>
    </row>
    <row r="362" spans="2:7" ht="13.2" x14ac:dyDescent="0.25">
      <c r="B362" s="17"/>
      <c r="C362" s="17"/>
      <c r="D362" s="17"/>
      <c r="E362" s="17"/>
      <c r="F362" s="17"/>
      <c r="G362" s="17"/>
    </row>
    <row r="363" spans="2:7" ht="13.2" x14ac:dyDescent="0.25">
      <c r="B363" s="17"/>
      <c r="C363" s="17"/>
      <c r="D363" s="17"/>
      <c r="E363" s="17"/>
      <c r="F363" s="17"/>
      <c r="G363" s="17"/>
    </row>
    <row r="364" spans="2:7" ht="13.2" x14ac:dyDescent="0.25">
      <c r="B364" s="17"/>
      <c r="C364" s="17"/>
      <c r="D364" s="17"/>
      <c r="E364" s="17"/>
      <c r="F364" s="17"/>
      <c r="G364" s="17"/>
    </row>
    <row r="365" spans="2:7" ht="13.2" x14ac:dyDescent="0.25">
      <c r="B365" s="17"/>
      <c r="C365" s="17"/>
      <c r="D365" s="17"/>
      <c r="E365" s="17"/>
      <c r="F365" s="17"/>
      <c r="G365" s="17"/>
    </row>
    <row r="366" spans="2:7" ht="13.2" x14ac:dyDescent="0.25">
      <c r="B366" s="17"/>
      <c r="C366" s="17"/>
      <c r="D366" s="17"/>
      <c r="E366" s="17"/>
      <c r="F366" s="17"/>
      <c r="G366" s="17"/>
    </row>
    <row r="367" spans="2:7" ht="13.2" x14ac:dyDescent="0.25">
      <c r="B367" s="17"/>
      <c r="C367" s="17"/>
      <c r="D367" s="17"/>
      <c r="E367" s="17"/>
      <c r="F367" s="17"/>
      <c r="G367" s="17"/>
    </row>
    <row r="368" spans="2:7" ht="13.2" x14ac:dyDescent="0.25">
      <c r="B368" s="17"/>
      <c r="C368" s="17"/>
      <c r="D368" s="17"/>
      <c r="E368" s="17"/>
      <c r="F368" s="17"/>
      <c r="G368" s="17"/>
    </row>
    <row r="369" spans="2:7" ht="13.2" x14ac:dyDescent="0.25">
      <c r="B369" s="17"/>
      <c r="C369" s="17"/>
      <c r="D369" s="17"/>
      <c r="E369" s="17"/>
      <c r="F369" s="17"/>
      <c r="G369" s="17"/>
    </row>
    <row r="370" spans="2:7" ht="13.2" x14ac:dyDescent="0.25">
      <c r="B370" s="17"/>
      <c r="C370" s="17"/>
      <c r="D370" s="17"/>
      <c r="E370" s="17"/>
      <c r="F370" s="17"/>
      <c r="G370" s="17"/>
    </row>
    <row r="371" spans="2:7" ht="13.2" x14ac:dyDescent="0.25">
      <c r="B371" s="17"/>
      <c r="C371" s="17"/>
      <c r="D371" s="17"/>
      <c r="E371" s="17"/>
      <c r="F371" s="17"/>
      <c r="G371" s="17"/>
    </row>
    <row r="372" spans="2:7" ht="13.2" x14ac:dyDescent="0.25">
      <c r="B372" s="17"/>
      <c r="C372" s="17"/>
      <c r="D372" s="17"/>
      <c r="E372" s="17"/>
      <c r="F372" s="17"/>
      <c r="G372" s="17"/>
    </row>
    <row r="373" spans="2:7" ht="13.2" x14ac:dyDescent="0.25">
      <c r="B373" s="17"/>
      <c r="C373" s="17"/>
      <c r="D373" s="17"/>
      <c r="E373" s="17"/>
      <c r="F373" s="17"/>
      <c r="G373" s="17"/>
    </row>
    <row r="374" spans="2:7" ht="13.2" x14ac:dyDescent="0.25">
      <c r="B374" s="17"/>
      <c r="C374" s="17"/>
      <c r="D374" s="17"/>
      <c r="E374" s="17"/>
      <c r="F374" s="17"/>
      <c r="G374" s="17"/>
    </row>
    <row r="375" spans="2:7" ht="13.2" x14ac:dyDescent="0.25">
      <c r="B375" s="17"/>
      <c r="C375" s="17"/>
      <c r="D375" s="17"/>
      <c r="E375" s="17"/>
      <c r="F375" s="17"/>
      <c r="G375" s="17"/>
    </row>
    <row r="376" spans="2:7" ht="13.2" x14ac:dyDescent="0.25">
      <c r="B376" s="17"/>
      <c r="C376" s="17"/>
      <c r="D376" s="17"/>
      <c r="E376" s="17"/>
      <c r="F376" s="17"/>
      <c r="G376" s="17"/>
    </row>
    <row r="377" spans="2:7" ht="13.2" x14ac:dyDescent="0.25">
      <c r="B377" s="17"/>
      <c r="C377" s="17"/>
      <c r="D377" s="17"/>
      <c r="E377" s="17"/>
      <c r="F377" s="17"/>
      <c r="G377" s="17"/>
    </row>
    <row r="378" spans="2:7" ht="13.2" x14ac:dyDescent="0.25">
      <c r="B378" s="17"/>
      <c r="C378" s="17"/>
      <c r="D378" s="17"/>
      <c r="E378" s="17"/>
      <c r="F378" s="17"/>
      <c r="G378" s="17"/>
    </row>
    <row r="379" spans="2:7" ht="13.2" x14ac:dyDescent="0.25">
      <c r="B379" s="17"/>
      <c r="C379" s="17"/>
      <c r="D379" s="17"/>
      <c r="E379" s="17"/>
      <c r="F379" s="17"/>
      <c r="G379" s="17"/>
    </row>
    <row r="380" spans="2:7" ht="13.2" x14ac:dyDescent="0.25">
      <c r="B380" s="17"/>
      <c r="C380" s="17"/>
      <c r="D380" s="17"/>
      <c r="E380" s="17"/>
      <c r="F380" s="17"/>
      <c r="G380" s="17"/>
    </row>
    <row r="381" spans="2:7" ht="13.2" x14ac:dyDescent="0.25">
      <c r="B381" s="17"/>
      <c r="C381" s="17"/>
      <c r="D381" s="17"/>
      <c r="E381" s="17"/>
      <c r="F381" s="17"/>
      <c r="G381" s="17"/>
    </row>
    <row r="382" spans="2:7" ht="13.2" x14ac:dyDescent="0.25">
      <c r="B382" s="17"/>
      <c r="C382" s="17"/>
      <c r="D382" s="17"/>
      <c r="E382" s="17"/>
      <c r="F382" s="17"/>
      <c r="G382" s="17"/>
    </row>
    <row r="383" spans="2:7" ht="13.2" x14ac:dyDescent="0.25">
      <c r="B383" s="17"/>
      <c r="C383" s="17"/>
      <c r="D383" s="17"/>
      <c r="E383" s="17"/>
      <c r="F383" s="17"/>
      <c r="G383" s="17"/>
    </row>
    <row r="384" spans="2:7" ht="13.2" x14ac:dyDescent="0.25">
      <c r="B384" s="17"/>
      <c r="C384" s="17"/>
      <c r="D384" s="17"/>
      <c r="E384" s="17"/>
      <c r="F384" s="17"/>
      <c r="G384" s="17"/>
    </row>
    <row r="385" spans="2:7" ht="13.2" x14ac:dyDescent="0.25">
      <c r="B385" s="17"/>
      <c r="C385" s="17"/>
      <c r="D385" s="17"/>
      <c r="E385" s="17"/>
      <c r="F385" s="17"/>
      <c r="G385" s="17"/>
    </row>
    <row r="386" spans="2:7" ht="13.2" x14ac:dyDescent="0.25">
      <c r="B386" s="17"/>
      <c r="C386" s="17"/>
      <c r="D386" s="17"/>
      <c r="E386" s="17"/>
      <c r="F386" s="17"/>
      <c r="G386" s="17"/>
    </row>
    <row r="387" spans="2:7" ht="13.2" x14ac:dyDescent="0.25">
      <c r="B387" s="17"/>
      <c r="C387" s="17"/>
      <c r="D387" s="17"/>
      <c r="E387" s="17"/>
      <c r="F387" s="17"/>
      <c r="G387" s="17"/>
    </row>
    <row r="388" spans="2:7" ht="13.2" x14ac:dyDescent="0.25">
      <c r="B388" s="17"/>
      <c r="C388" s="17"/>
      <c r="D388" s="17"/>
      <c r="E388" s="17"/>
      <c r="F388" s="17"/>
      <c r="G388" s="17"/>
    </row>
    <row r="389" spans="2:7" ht="13.2" x14ac:dyDescent="0.25">
      <c r="B389" s="17"/>
      <c r="C389" s="17"/>
      <c r="D389" s="17"/>
      <c r="E389" s="17"/>
      <c r="F389" s="17"/>
      <c r="G389" s="17"/>
    </row>
    <row r="390" spans="2:7" ht="13.2" x14ac:dyDescent="0.25">
      <c r="B390" s="17"/>
      <c r="C390" s="17"/>
      <c r="D390" s="17"/>
      <c r="E390" s="17"/>
      <c r="F390" s="17"/>
      <c r="G390" s="17"/>
    </row>
    <row r="391" spans="2:7" ht="13.2" x14ac:dyDescent="0.25">
      <c r="B391" s="17"/>
      <c r="C391" s="17"/>
      <c r="D391" s="17"/>
      <c r="E391" s="17"/>
      <c r="F391" s="17"/>
      <c r="G391" s="17"/>
    </row>
    <row r="392" spans="2:7" ht="13.2" x14ac:dyDescent="0.25">
      <c r="B392" s="17"/>
      <c r="C392" s="17"/>
      <c r="D392" s="17"/>
      <c r="E392" s="17"/>
      <c r="F392" s="17"/>
      <c r="G392" s="17"/>
    </row>
    <row r="393" spans="2:7" ht="13.2" x14ac:dyDescent="0.25">
      <c r="B393" s="17"/>
      <c r="C393" s="17"/>
      <c r="D393" s="17"/>
      <c r="E393" s="17"/>
      <c r="F393" s="17"/>
      <c r="G393" s="17"/>
    </row>
    <row r="394" spans="2:7" ht="13.2" x14ac:dyDescent="0.25">
      <c r="B394" s="17"/>
      <c r="C394" s="17"/>
      <c r="D394" s="17"/>
      <c r="E394" s="17"/>
      <c r="F394" s="17"/>
      <c r="G394" s="17"/>
    </row>
    <row r="395" spans="2:7" ht="13.2" x14ac:dyDescent="0.25">
      <c r="B395" s="17"/>
      <c r="C395" s="17"/>
      <c r="D395" s="17"/>
      <c r="E395" s="17"/>
      <c r="F395" s="17"/>
      <c r="G395" s="17"/>
    </row>
    <row r="396" spans="2:7" ht="13.2" x14ac:dyDescent="0.25">
      <c r="B396" s="17"/>
      <c r="C396" s="17"/>
      <c r="D396" s="17"/>
      <c r="E396" s="17"/>
      <c r="F396" s="17"/>
      <c r="G396" s="17"/>
    </row>
    <row r="397" spans="2:7" ht="13.2" x14ac:dyDescent="0.25">
      <c r="B397" s="17"/>
      <c r="C397" s="17"/>
      <c r="D397" s="17"/>
      <c r="E397" s="17"/>
      <c r="F397" s="17"/>
      <c r="G397" s="17"/>
    </row>
    <row r="398" spans="2:7" ht="13.2" x14ac:dyDescent="0.25">
      <c r="B398" s="17"/>
      <c r="C398" s="17"/>
      <c r="D398" s="17"/>
      <c r="E398" s="17"/>
      <c r="F398" s="17"/>
      <c r="G398" s="17"/>
    </row>
    <row r="399" spans="2:7" ht="13.2" x14ac:dyDescent="0.25">
      <c r="B399" s="17"/>
      <c r="C399" s="17"/>
      <c r="D399" s="17"/>
      <c r="E399" s="17"/>
      <c r="F399" s="17"/>
      <c r="G399" s="17"/>
    </row>
    <row r="400" spans="2:7" ht="13.2" x14ac:dyDescent="0.25">
      <c r="B400" s="17"/>
      <c r="C400" s="17"/>
      <c r="D400" s="17"/>
      <c r="E400" s="17"/>
      <c r="F400" s="17"/>
      <c r="G400" s="17"/>
    </row>
    <row r="401" spans="2:7" ht="13.2" x14ac:dyDescent="0.25">
      <c r="B401" s="17"/>
      <c r="C401" s="17"/>
      <c r="D401" s="17"/>
      <c r="E401" s="17"/>
      <c r="F401" s="17"/>
      <c r="G401" s="17"/>
    </row>
    <row r="402" spans="2:7" ht="13.2" x14ac:dyDescent="0.25">
      <c r="B402" s="17"/>
      <c r="C402" s="17"/>
      <c r="D402" s="17"/>
      <c r="E402" s="17"/>
      <c r="F402" s="17"/>
      <c r="G402" s="17"/>
    </row>
    <row r="403" spans="2:7" ht="13.2" x14ac:dyDescent="0.25">
      <c r="B403" s="17"/>
      <c r="C403" s="17"/>
      <c r="D403" s="17"/>
      <c r="E403" s="17"/>
      <c r="F403" s="17"/>
      <c r="G403" s="17"/>
    </row>
    <row r="404" spans="2:7" ht="13.2" x14ac:dyDescent="0.25">
      <c r="B404" s="17"/>
      <c r="C404" s="17"/>
      <c r="D404" s="17"/>
      <c r="E404" s="17"/>
      <c r="F404" s="17"/>
      <c r="G404" s="17"/>
    </row>
    <row r="405" spans="2:7" ht="13.2" x14ac:dyDescent="0.25">
      <c r="B405" s="17"/>
      <c r="C405" s="17"/>
      <c r="D405" s="17"/>
      <c r="E405" s="17"/>
      <c r="F405" s="17"/>
      <c r="G405" s="17"/>
    </row>
    <row r="406" spans="2:7" ht="13.2" x14ac:dyDescent="0.25">
      <c r="B406" s="17"/>
      <c r="C406" s="17"/>
      <c r="D406" s="17"/>
      <c r="E406" s="17"/>
      <c r="F406" s="17"/>
      <c r="G406" s="17"/>
    </row>
    <row r="407" spans="2:7" ht="13.2" x14ac:dyDescent="0.25">
      <c r="B407" s="17"/>
      <c r="C407" s="17"/>
      <c r="D407" s="17"/>
      <c r="E407" s="17"/>
      <c r="F407" s="17"/>
      <c r="G407" s="17"/>
    </row>
    <row r="408" spans="2:7" ht="13.2" x14ac:dyDescent="0.25">
      <c r="B408" s="17"/>
      <c r="C408" s="17"/>
      <c r="D408" s="17"/>
      <c r="E408" s="17"/>
      <c r="F408" s="17"/>
      <c r="G408" s="17"/>
    </row>
    <row r="409" spans="2:7" ht="13.2" x14ac:dyDescent="0.25">
      <c r="B409" s="17"/>
      <c r="C409" s="17"/>
      <c r="D409" s="17"/>
      <c r="E409" s="17"/>
      <c r="F409" s="17"/>
      <c r="G409" s="17"/>
    </row>
    <row r="410" spans="2:7" ht="13.2" x14ac:dyDescent="0.25">
      <c r="B410" s="17"/>
      <c r="C410" s="17"/>
      <c r="D410" s="17"/>
      <c r="E410" s="17"/>
      <c r="F410" s="17"/>
      <c r="G410" s="17"/>
    </row>
    <row r="411" spans="2:7" ht="13.2" x14ac:dyDescent="0.25">
      <c r="B411" s="17"/>
      <c r="C411" s="17"/>
      <c r="D411" s="17"/>
      <c r="E411" s="17"/>
      <c r="F411" s="17"/>
      <c r="G411" s="17"/>
    </row>
    <row r="412" spans="2:7" ht="13.2" x14ac:dyDescent="0.25">
      <c r="B412" s="17"/>
      <c r="C412" s="17"/>
      <c r="D412" s="17"/>
      <c r="E412" s="17"/>
      <c r="F412" s="17"/>
      <c r="G412" s="17"/>
    </row>
    <row r="413" spans="2:7" ht="13.2" x14ac:dyDescent="0.25">
      <c r="B413" s="17"/>
      <c r="C413" s="17"/>
      <c r="D413" s="17"/>
      <c r="E413" s="17"/>
      <c r="F413" s="17"/>
      <c r="G413" s="17"/>
    </row>
    <row r="414" spans="2:7" ht="13.2" x14ac:dyDescent="0.25">
      <c r="B414" s="17"/>
      <c r="C414" s="17"/>
      <c r="D414" s="17"/>
      <c r="E414" s="17"/>
      <c r="F414" s="17"/>
      <c r="G414" s="17"/>
    </row>
    <row r="415" spans="2:7" ht="13.2" x14ac:dyDescent="0.25">
      <c r="B415" s="17"/>
      <c r="C415" s="17"/>
      <c r="D415" s="17"/>
      <c r="E415" s="17"/>
      <c r="F415" s="17"/>
      <c r="G415" s="17"/>
    </row>
    <row r="416" spans="2:7" ht="13.2" x14ac:dyDescent="0.25">
      <c r="B416" s="17"/>
      <c r="C416" s="17"/>
      <c r="D416" s="17"/>
      <c r="E416" s="17"/>
      <c r="F416" s="17"/>
      <c r="G416" s="17"/>
    </row>
    <row r="417" spans="2:7" ht="13.2" x14ac:dyDescent="0.25">
      <c r="B417" s="17"/>
      <c r="C417" s="17"/>
      <c r="D417" s="17"/>
      <c r="E417" s="17"/>
      <c r="F417" s="17"/>
      <c r="G417" s="17"/>
    </row>
    <row r="418" spans="2:7" ht="13.2" x14ac:dyDescent="0.25">
      <c r="B418" s="17"/>
      <c r="C418" s="17"/>
      <c r="D418" s="17"/>
      <c r="E418" s="17"/>
      <c r="F418" s="17"/>
      <c r="G418" s="17"/>
    </row>
    <row r="419" spans="2:7" ht="13.2" x14ac:dyDescent="0.25">
      <c r="B419" s="17"/>
      <c r="C419" s="17"/>
      <c r="D419" s="17"/>
      <c r="E419" s="17"/>
      <c r="F419" s="17"/>
      <c r="G419" s="17"/>
    </row>
    <row r="420" spans="2:7" ht="13.2" x14ac:dyDescent="0.25">
      <c r="B420" s="17"/>
      <c r="C420" s="17"/>
      <c r="D420" s="17"/>
      <c r="E420" s="17"/>
      <c r="F420" s="17"/>
      <c r="G420" s="17"/>
    </row>
    <row r="421" spans="2:7" ht="13.2" x14ac:dyDescent="0.25">
      <c r="B421" s="17"/>
      <c r="C421" s="17"/>
      <c r="D421" s="17"/>
      <c r="E421" s="17"/>
      <c r="F421" s="17"/>
      <c r="G421" s="17"/>
    </row>
    <row r="422" spans="2:7" ht="13.2" x14ac:dyDescent="0.25">
      <c r="B422" s="17"/>
      <c r="C422" s="17"/>
      <c r="D422" s="17"/>
      <c r="E422" s="17"/>
      <c r="F422" s="17"/>
      <c r="G422" s="17"/>
    </row>
    <row r="423" spans="2:7" ht="13.2" x14ac:dyDescent="0.25">
      <c r="B423" s="17"/>
      <c r="C423" s="17"/>
      <c r="D423" s="17"/>
      <c r="E423" s="17"/>
      <c r="F423" s="17"/>
      <c r="G423" s="17"/>
    </row>
    <row r="424" spans="2:7" ht="13.2" x14ac:dyDescent="0.25">
      <c r="B424" s="17"/>
      <c r="C424" s="17"/>
      <c r="D424" s="17"/>
      <c r="E424" s="17"/>
      <c r="F424" s="17"/>
      <c r="G424" s="17"/>
    </row>
    <row r="425" spans="2:7" ht="13.2" x14ac:dyDescent="0.25">
      <c r="B425" s="17"/>
      <c r="C425" s="17"/>
      <c r="D425" s="17"/>
      <c r="E425" s="17"/>
      <c r="F425" s="17"/>
      <c r="G425" s="17"/>
    </row>
    <row r="426" spans="2:7" ht="13.2" x14ac:dyDescent="0.25">
      <c r="B426" s="17"/>
      <c r="C426" s="17"/>
      <c r="D426" s="17"/>
      <c r="E426" s="17"/>
      <c r="F426" s="17"/>
      <c r="G426" s="17"/>
    </row>
    <row r="427" spans="2:7" ht="13.2" x14ac:dyDescent="0.25">
      <c r="B427" s="17"/>
      <c r="C427" s="17"/>
      <c r="D427" s="17"/>
      <c r="E427" s="17"/>
      <c r="F427" s="17"/>
      <c r="G427" s="17"/>
    </row>
    <row r="428" spans="2:7" ht="13.2" x14ac:dyDescent="0.25">
      <c r="B428" s="17"/>
      <c r="C428" s="17"/>
      <c r="D428" s="17"/>
      <c r="E428" s="17"/>
      <c r="F428" s="17"/>
      <c r="G428" s="17"/>
    </row>
    <row r="429" spans="2:7" ht="13.2" x14ac:dyDescent="0.25">
      <c r="B429" s="17"/>
      <c r="C429" s="17"/>
      <c r="D429" s="17"/>
      <c r="E429" s="17"/>
      <c r="F429" s="17"/>
      <c r="G429" s="17"/>
    </row>
    <row r="430" spans="2:7" ht="13.2" x14ac:dyDescent="0.25">
      <c r="B430" s="17"/>
      <c r="C430" s="17"/>
      <c r="D430" s="17"/>
      <c r="E430" s="17"/>
      <c r="F430" s="17"/>
      <c r="G430" s="17"/>
    </row>
    <row r="431" spans="2:7" ht="13.2" x14ac:dyDescent="0.25">
      <c r="B431" s="17"/>
      <c r="C431" s="17"/>
      <c r="D431" s="17"/>
      <c r="E431" s="17"/>
      <c r="F431" s="17"/>
      <c r="G431" s="17"/>
    </row>
    <row r="432" spans="2:7" ht="13.2" x14ac:dyDescent="0.25">
      <c r="B432" s="17"/>
      <c r="C432" s="17"/>
      <c r="D432" s="17"/>
      <c r="E432" s="17"/>
      <c r="F432" s="17"/>
      <c r="G432" s="17"/>
    </row>
    <row r="433" spans="2:7" ht="13.2" x14ac:dyDescent="0.25">
      <c r="B433" s="17"/>
      <c r="C433" s="17"/>
      <c r="D433" s="17"/>
      <c r="E433" s="17"/>
      <c r="F433" s="17"/>
      <c r="G433" s="17"/>
    </row>
    <row r="434" spans="2:7" ht="13.2" x14ac:dyDescent="0.25">
      <c r="B434" s="17"/>
      <c r="C434" s="17"/>
      <c r="D434" s="17"/>
      <c r="E434" s="17"/>
      <c r="F434" s="17"/>
      <c r="G434" s="17"/>
    </row>
    <row r="435" spans="2:7" ht="13.2" x14ac:dyDescent="0.25">
      <c r="B435" s="17"/>
      <c r="C435" s="17"/>
      <c r="D435" s="17"/>
      <c r="E435" s="17"/>
      <c r="F435" s="17"/>
      <c r="G435" s="17"/>
    </row>
    <row r="436" spans="2:7" ht="13.2" x14ac:dyDescent="0.25">
      <c r="B436" s="17"/>
      <c r="C436" s="17"/>
      <c r="D436" s="17"/>
      <c r="E436" s="17"/>
      <c r="F436" s="17"/>
      <c r="G436" s="17"/>
    </row>
    <row r="437" spans="2:7" ht="13.2" x14ac:dyDescent="0.25">
      <c r="B437" s="17"/>
      <c r="C437" s="17"/>
      <c r="D437" s="17"/>
      <c r="E437" s="17"/>
      <c r="F437" s="17"/>
      <c r="G437" s="17"/>
    </row>
    <row r="438" spans="2:7" ht="13.2" x14ac:dyDescent="0.25">
      <c r="B438" s="17"/>
      <c r="C438" s="17"/>
      <c r="D438" s="17"/>
      <c r="E438" s="17"/>
      <c r="F438" s="17"/>
      <c r="G438" s="17"/>
    </row>
    <row r="439" spans="2:7" ht="13.2" x14ac:dyDescent="0.25">
      <c r="B439" s="17"/>
      <c r="C439" s="17"/>
      <c r="D439" s="17"/>
      <c r="E439" s="17"/>
      <c r="F439" s="17"/>
      <c r="G439" s="17"/>
    </row>
    <row r="440" spans="2:7" ht="13.2" x14ac:dyDescent="0.25">
      <c r="B440" s="17"/>
      <c r="C440" s="17"/>
      <c r="D440" s="17"/>
      <c r="E440" s="17"/>
      <c r="F440" s="17"/>
      <c r="G440" s="17"/>
    </row>
    <row r="441" spans="2:7" ht="13.2" x14ac:dyDescent="0.25">
      <c r="B441" s="17"/>
      <c r="C441" s="17"/>
      <c r="D441" s="17"/>
      <c r="E441" s="17"/>
      <c r="F441" s="17"/>
      <c r="G441" s="17"/>
    </row>
    <row r="442" spans="2:7" ht="13.2" x14ac:dyDescent="0.25">
      <c r="B442" s="17"/>
      <c r="C442" s="17"/>
      <c r="D442" s="17"/>
      <c r="E442" s="17"/>
      <c r="F442" s="17"/>
      <c r="G442" s="17"/>
    </row>
    <row r="443" spans="2:7" ht="13.2" x14ac:dyDescent="0.25">
      <c r="B443" s="17"/>
      <c r="C443" s="17"/>
      <c r="D443" s="17"/>
      <c r="E443" s="17"/>
      <c r="F443" s="17"/>
      <c r="G443" s="17"/>
    </row>
    <row r="444" spans="2:7" ht="13.2" x14ac:dyDescent="0.25">
      <c r="B444" s="17"/>
      <c r="C444" s="17"/>
      <c r="D444" s="17"/>
      <c r="E444" s="17"/>
      <c r="F444" s="17"/>
      <c r="G444" s="17"/>
    </row>
    <row r="445" spans="2:7" ht="13.2" x14ac:dyDescent="0.25">
      <c r="B445" s="17"/>
      <c r="C445" s="17"/>
      <c r="D445" s="17"/>
      <c r="E445" s="17"/>
      <c r="F445" s="17"/>
      <c r="G445" s="17"/>
    </row>
    <row r="446" spans="2:7" ht="13.2" x14ac:dyDescent="0.25">
      <c r="B446" s="17"/>
      <c r="C446" s="17"/>
      <c r="D446" s="17"/>
      <c r="E446" s="17"/>
      <c r="F446" s="17"/>
      <c r="G446" s="17"/>
    </row>
    <row r="447" spans="2:7" ht="13.2" x14ac:dyDescent="0.25">
      <c r="B447" s="17"/>
      <c r="C447" s="17"/>
      <c r="D447" s="17"/>
      <c r="E447" s="17"/>
      <c r="F447" s="17"/>
      <c r="G447" s="17"/>
    </row>
    <row r="448" spans="2:7" ht="13.2" x14ac:dyDescent="0.25">
      <c r="B448" s="17"/>
      <c r="C448" s="17"/>
      <c r="D448" s="17"/>
      <c r="E448" s="17"/>
      <c r="F448" s="17"/>
      <c r="G448" s="17"/>
    </row>
    <row r="449" spans="2:7" ht="13.2" x14ac:dyDescent="0.25">
      <c r="B449" s="17"/>
      <c r="C449" s="17"/>
      <c r="D449" s="17"/>
      <c r="E449" s="17"/>
      <c r="F449" s="17"/>
      <c r="G449" s="17"/>
    </row>
    <row r="450" spans="2:7" ht="13.2" x14ac:dyDescent="0.25">
      <c r="B450" s="17"/>
      <c r="C450" s="17"/>
      <c r="D450" s="17"/>
      <c r="E450" s="17"/>
      <c r="F450" s="17"/>
      <c r="G450" s="17"/>
    </row>
    <row r="451" spans="2:7" ht="13.2" x14ac:dyDescent="0.25">
      <c r="B451" s="17"/>
      <c r="C451" s="17"/>
      <c r="D451" s="17"/>
      <c r="E451" s="17"/>
      <c r="F451" s="17"/>
      <c r="G451" s="17"/>
    </row>
    <row r="452" spans="2:7" ht="13.2" x14ac:dyDescent="0.25">
      <c r="B452" s="17"/>
      <c r="C452" s="17"/>
      <c r="D452" s="17"/>
      <c r="E452" s="17"/>
      <c r="F452" s="17"/>
      <c r="G452" s="17"/>
    </row>
    <row r="453" spans="2:7" ht="13.2" x14ac:dyDescent="0.25">
      <c r="B453" s="17"/>
      <c r="C453" s="17"/>
      <c r="D453" s="17"/>
      <c r="E453" s="17"/>
      <c r="F453" s="17"/>
      <c r="G453" s="17"/>
    </row>
    <row r="454" spans="2:7" ht="13.2" x14ac:dyDescent="0.25">
      <c r="B454" s="17"/>
      <c r="C454" s="17"/>
      <c r="D454" s="17"/>
      <c r="E454" s="17"/>
      <c r="F454" s="17"/>
      <c r="G454" s="17"/>
    </row>
    <row r="455" spans="2:7" ht="13.2" x14ac:dyDescent="0.25">
      <c r="B455" s="17"/>
      <c r="C455" s="17"/>
      <c r="D455" s="17"/>
      <c r="E455" s="17"/>
      <c r="F455" s="17"/>
      <c r="G455" s="17"/>
    </row>
    <row r="456" spans="2:7" ht="13.2" x14ac:dyDescent="0.25">
      <c r="B456" s="17"/>
      <c r="C456" s="17"/>
      <c r="D456" s="17"/>
      <c r="E456" s="17"/>
      <c r="F456" s="17"/>
      <c r="G456" s="17"/>
    </row>
    <row r="457" spans="2:7" ht="13.2" x14ac:dyDescent="0.25">
      <c r="B457" s="17"/>
      <c r="C457" s="17"/>
      <c r="D457" s="17"/>
      <c r="E457" s="17"/>
      <c r="F457" s="17"/>
      <c r="G457" s="17"/>
    </row>
    <row r="458" spans="2:7" ht="13.2" x14ac:dyDescent="0.25">
      <c r="B458" s="17"/>
      <c r="C458" s="17"/>
      <c r="D458" s="17"/>
      <c r="E458" s="17"/>
      <c r="F458" s="17"/>
      <c r="G458" s="17"/>
    </row>
    <row r="459" spans="2:7" ht="13.2" x14ac:dyDescent="0.25">
      <c r="B459" s="17"/>
      <c r="C459" s="17"/>
      <c r="D459" s="17"/>
      <c r="E459" s="17"/>
      <c r="F459" s="17"/>
      <c r="G459" s="17"/>
    </row>
    <row r="460" spans="2:7" ht="13.2" x14ac:dyDescent="0.25">
      <c r="B460" s="17"/>
      <c r="C460" s="17"/>
      <c r="D460" s="17"/>
      <c r="E460" s="17"/>
      <c r="F460" s="17"/>
      <c r="G460" s="17"/>
    </row>
    <row r="461" spans="2:7" ht="13.2" x14ac:dyDescent="0.25">
      <c r="B461" s="17"/>
      <c r="C461" s="17"/>
      <c r="D461" s="17"/>
      <c r="E461" s="17"/>
      <c r="F461" s="17"/>
      <c r="G461" s="17"/>
    </row>
    <row r="462" spans="2:7" ht="13.2" x14ac:dyDescent="0.25">
      <c r="B462" s="17"/>
      <c r="C462" s="17"/>
      <c r="D462" s="17"/>
      <c r="E462" s="17"/>
      <c r="F462" s="17"/>
      <c r="G462" s="17"/>
    </row>
    <row r="463" spans="2:7" ht="13.2" x14ac:dyDescent="0.25">
      <c r="B463" s="17"/>
      <c r="C463" s="17"/>
      <c r="D463" s="17"/>
      <c r="E463" s="17"/>
      <c r="F463" s="17"/>
      <c r="G463" s="17"/>
    </row>
    <row r="464" spans="2:7" ht="13.2" x14ac:dyDescent="0.25">
      <c r="B464" s="17"/>
      <c r="C464" s="17"/>
      <c r="D464" s="17"/>
      <c r="E464" s="17"/>
      <c r="F464" s="17"/>
      <c r="G464" s="17"/>
    </row>
    <row r="465" spans="2:7" ht="13.2" x14ac:dyDescent="0.25">
      <c r="B465" s="17"/>
      <c r="C465" s="17"/>
      <c r="D465" s="17"/>
      <c r="E465" s="17"/>
      <c r="F465" s="17"/>
      <c r="G465" s="17"/>
    </row>
    <row r="466" spans="2:7" ht="13.2" x14ac:dyDescent="0.25">
      <c r="B466" s="17"/>
      <c r="C466" s="17"/>
      <c r="D466" s="17"/>
      <c r="E466" s="17"/>
      <c r="F466" s="17"/>
      <c r="G466" s="17"/>
    </row>
    <row r="467" spans="2:7" ht="13.2" x14ac:dyDescent="0.25">
      <c r="B467" s="17"/>
      <c r="C467" s="17"/>
      <c r="D467" s="17"/>
      <c r="E467" s="17"/>
      <c r="F467" s="17"/>
      <c r="G467" s="17"/>
    </row>
    <row r="468" spans="2:7" ht="13.2" x14ac:dyDescent="0.25">
      <c r="B468" s="17"/>
      <c r="C468" s="17"/>
      <c r="D468" s="17"/>
      <c r="E468" s="17"/>
      <c r="F468" s="17"/>
      <c r="G468" s="17"/>
    </row>
    <row r="469" spans="2:7" ht="13.2" x14ac:dyDescent="0.25">
      <c r="B469" s="17"/>
      <c r="C469" s="17"/>
      <c r="D469" s="17"/>
      <c r="E469" s="17"/>
      <c r="F469" s="17"/>
      <c r="G469" s="17"/>
    </row>
    <row r="470" spans="2:7" ht="13.2" x14ac:dyDescent="0.25">
      <c r="B470" s="17"/>
      <c r="C470" s="17"/>
      <c r="D470" s="17"/>
      <c r="E470" s="17"/>
      <c r="F470" s="17"/>
      <c r="G470" s="17"/>
    </row>
    <row r="471" spans="2:7" ht="13.2" x14ac:dyDescent="0.25">
      <c r="B471" s="17"/>
      <c r="C471" s="17"/>
      <c r="D471" s="17"/>
      <c r="E471" s="17"/>
      <c r="F471" s="17"/>
      <c r="G471" s="17"/>
    </row>
    <row r="472" spans="2:7" ht="13.2" x14ac:dyDescent="0.25">
      <c r="B472" s="17"/>
      <c r="C472" s="17"/>
      <c r="D472" s="17"/>
      <c r="E472" s="17"/>
      <c r="F472" s="17"/>
      <c r="G472" s="17"/>
    </row>
    <row r="473" spans="2:7" ht="13.2" x14ac:dyDescent="0.25">
      <c r="B473" s="17"/>
      <c r="C473" s="17"/>
      <c r="D473" s="17"/>
      <c r="E473" s="17"/>
      <c r="F473" s="17"/>
      <c r="G473" s="17"/>
    </row>
    <row r="474" spans="2:7" ht="13.2" x14ac:dyDescent="0.25">
      <c r="B474" s="17"/>
      <c r="C474" s="17"/>
      <c r="D474" s="17"/>
      <c r="E474" s="17"/>
      <c r="F474" s="17"/>
      <c r="G474" s="17"/>
    </row>
    <row r="475" spans="2:7" ht="13.2" x14ac:dyDescent="0.25">
      <c r="B475" s="17"/>
      <c r="C475" s="17"/>
      <c r="D475" s="17"/>
      <c r="E475" s="17"/>
      <c r="F475" s="17"/>
      <c r="G475" s="17"/>
    </row>
    <row r="476" spans="2:7" ht="13.2" x14ac:dyDescent="0.25">
      <c r="B476" s="17"/>
      <c r="C476" s="17"/>
      <c r="D476" s="17"/>
      <c r="E476" s="17"/>
      <c r="F476" s="17"/>
      <c r="G476" s="17"/>
    </row>
    <row r="477" spans="2:7" ht="13.2" x14ac:dyDescent="0.25">
      <c r="B477" s="17"/>
      <c r="C477" s="17"/>
      <c r="D477" s="17"/>
      <c r="E477" s="17"/>
      <c r="F477" s="17"/>
      <c r="G477" s="17"/>
    </row>
    <row r="478" spans="2:7" ht="13.2" x14ac:dyDescent="0.25">
      <c r="B478" s="17"/>
      <c r="C478" s="17"/>
      <c r="D478" s="17"/>
      <c r="E478" s="17"/>
      <c r="F478" s="17"/>
      <c r="G478" s="17"/>
    </row>
    <row r="479" spans="2:7" ht="13.2" x14ac:dyDescent="0.25">
      <c r="B479" s="17"/>
      <c r="C479" s="17"/>
      <c r="D479" s="17"/>
      <c r="E479" s="17"/>
      <c r="F479" s="17"/>
      <c r="G479" s="17"/>
    </row>
    <row r="480" spans="2:7" ht="13.2" x14ac:dyDescent="0.25">
      <c r="B480" s="17"/>
      <c r="C480" s="17"/>
      <c r="D480" s="17"/>
      <c r="E480" s="17"/>
      <c r="F480" s="17"/>
      <c r="G480" s="17"/>
    </row>
    <row r="481" spans="2:7" ht="13.2" x14ac:dyDescent="0.25">
      <c r="B481" s="17"/>
      <c r="C481" s="17"/>
      <c r="D481" s="17"/>
      <c r="E481" s="17"/>
      <c r="F481" s="17"/>
      <c r="G481" s="17"/>
    </row>
    <row r="482" spans="2:7" ht="13.2" x14ac:dyDescent="0.25">
      <c r="B482" s="17"/>
      <c r="C482" s="17"/>
      <c r="D482" s="17"/>
      <c r="E482" s="17"/>
      <c r="F482" s="17"/>
      <c r="G482" s="17"/>
    </row>
    <row r="483" spans="2:7" ht="13.2" x14ac:dyDescent="0.25">
      <c r="B483" s="17"/>
      <c r="C483" s="17"/>
      <c r="D483" s="17"/>
      <c r="E483" s="17"/>
      <c r="F483" s="17"/>
      <c r="G483" s="17"/>
    </row>
    <row r="484" spans="2:7" ht="13.2" x14ac:dyDescent="0.25">
      <c r="B484" s="17"/>
      <c r="C484" s="17"/>
      <c r="D484" s="17"/>
      <c r="E484" s="17"/>
      <c r="F484" s="17"/>
      <c r="G484" s="17"/>
    </row>
    <row r="485" spans="2:7" ht="13.2" x14ac:dyDescent="0.25">
      <c r="B485" s="17"/>
      <c r="C485" s="17"/>
      <c r="D485" s="17"/>
      <c r="E485" s="17"/>
      <c r="F485" s="17"/>
      <c r="G485" s="17"/>
    </row>
    <row r="486" spans="2:7" ht="13.2" x14ac:dyDescent="0.25">
      <c r="B486" s="17"/>
      <c r="C486" s="17"/>
      <c r="D486" s="17"/>
      <c r="E486" s="17"/>
      <c r="F486" s="17"/>
      <c r="G486" s="17"/>
    </row>
    <row r="487" spans="2:7" ht="13.2" x14ac:dyDescent="0.25">
      <c r="B487" s="17"/>
      <c r="C487" s="17"/>
      <c r="D487" s="17"/>
      <c r="E487" s="17"/>
      <c r="F487" s="17"/>
      <c r="G487" s="17"/>
    </row>
    <row r="488" spans="2:7" ht="13.2" x14ac:dyDescent="0.25">
      <c r="B488" s="17"/>
      <c r="C488" s="17"/>
      <c r="D488" s="17"/>
      <c r="E488" s="17"/>
      <c r="F488" s="17"/>
      <c r="G488" s="17"/>
    </row>
    <row r="489" spans="2:7" ht="13.2" x14ac:dyDescent="0.25">
      <c r="B489" s="17"/>
      <c r="C489" s="17"/>
      <c r="D489" s="17"/>
      <c r="E489" s="17"/>
      <c r="F489" s="17"/>
      <c r="G489" s="17"/>
    </row>
    <row r="490" spans="2:7" ht="13.2" x14ac:dyDescent="0.25">
      <c r="B490" s="17"/>
      <c r="C490" s="17"/>
      <c r="D490" s="17"/>
      <c r="E490" s="17"/>
      <c r="F490" s="17"/>
      <c r="G490" s="17"/>
    </row>
    <row r="491" spans="2:7" ht="13.2" x14ac:dyDescent="0.25">
      <c r="B491" s="17"/>
      <c r="C491" s="17"/>
      <c r="D491" s="17"/>
      <c r="E491" s="17"/>
      <c r="F491" s="17"/>
      <c r="G491" s="17"/>
    </row>
    <row r="492" spans="2:7" ht="13.2" x14ac:dyDescent="0.25">
      <c r="B492" s="17"/>
      <c r="C492" s="17"/>
      <c r="D492" s="17"/>
      <c r="E492" s="17"/>
      <c r="F492" s="17"/>
      <c r="G492" s="17"/>
    </row>
    <row r="493" spans="2:7" ht="13.2" x14ac:dyDescent="0.25">
      <c r="B493" s="17"/>
      <c r="C493" s="17"/>
      <c r="D493" s="17"/>
      <c r="E493" s="17"/>
      <c r="F493" s="17"/>
      <c r="G493" s="17"/>
    </row>
    <row r="494" spans="2:7" ht="13.2" x14ac:dyDescent="0.25">
      <c r="B494" s="17"/>
      <c r="C494" s="17"/>
      <c r="D494" s="17"/>
      <c r="E494" s="17"/>
      <c r="F494" s="17"/>
      <c r="G494" s="17"/>
    </row>
    <row r="495" spans="2:7" ht="13.2" x14ac:dyDescent="0.25">
      <c r="B495" s="17"/>
      <c r="C495" s="17"/>
      <c r="D495" s="17"/>
      <c r="E495" s="17"/>
      <c r="F495" s="17"/>
      <c r="G495" s="17"/>
    </row>
    <row r="496" spans="2:7" ht="13.2" x14ac:dyDescent="0.25">
      <c r="B496" s="17"/>
      <c r="C496" s="17"/>
      <c r="D496" s="17"/>
      <c r="E496" s="17"/>
      <c r="F496" s="17"/>
      <c r="G496" s="17"/>
    </row>
    <row r="497" spans="2:7" ht="13.2" x14ac:dyDescent="0.25">
      <c r="B497" s="17"/>
      <c r="C497" s="17"/>
      <c r="D497" s="17"/>
      <c r="E497" s="17"/>
      <c r="F497" s="17"/>
      <c r="G497" s="17"/>
    </row>
    <row r="498" spans="2:7" ht="13.2" x14ac:dyDescent="0.25">
      <c r="B498" s="17"/>
      <c r="C498" s="17"/>
      <c r="D498" s="17"/>
      <c r="E498" s="17"/>
      <c r="F498" s="17"/>
      <c r="G498" s="17"/>
    </row>
    <row r="499" spans="2:7" ht="13.2" x14ac:dyDescent="0.25">
      <c r="B499" s="17"/>
      <c r="C499" s="17"/>
      <c r="D499" s="17"/>
      <c r="E499" s="17"/>
      <c r="F499" s="17"/>
      <c r="G499" s="17"/>
    </row>
    <row r="500" spans="2:7" ht="13.2" x14ac:dyDescent="0.25">
      <c r="B500" s="17"/>
      <c r="C500" s="17"/>
      <c r="D500" s="17"/>
      <c r="E500" s="17"/>
      <c r="F500" s="17"/>
      <c r="G500" s="17"/>
    </row>
    <row r="501" spans="2:7" ht="13.2" x14ac:dyDescent="0.25">
      <c r="B501" s="17"/>
      <c r="C501" s="17"/>
      <c r="D501" s="17"/>
      <c r="E501" s="17"/>
      <c r="F501" s="17"/>
      <c r="G501" s="17"/>
    </row>
    <row r="502" spans="2:7" ht="13.2" x14ac:dyDescent="0.25">
      <c r="B502" s="17"/>
      <c r="C502" s="17"/>
      <c r="D502" s="17"/>
      <c r="E502" s="17"/>
      <c r="F502" s="17"/>
      <c r="G502" s="17"/>
    </row>
    <row r="503" spans="2:7" ht="13.2" x14ac:dyDescent="0.25">
      <c r="B503" s="17"/>
      <c r="C503" s="17"/>
      <c r="D503" s="17"/>
      <c r="E503" s="17"/>
      <c r="F503" s="17"/>
      <c r="G503" s="17"/>
    </row>
    <row r="504" spans="2:7" ht="13.2" x14ac:dyDescent="0.25">
      <c r="B504" s="17"/>
      <c r="C504" s="17"/>
      <c r="D504" s="17"/>
      <c r="E504" s="17"/>
      <c r="F504" s="17"/>
      <c r="G504" s="17"/>
    </row>
    <row r="505" spans="2:7" ht="13.2" x14ac:dyDescent="0.25">
      <c r="B505" s="17"/>
      <c r="C505" s="17"/>
      <c r="D505" s="17"/>
      <c r="E505" s="17"/>
      <c r="F505" s="17"/>
      <c r="G505" s="17"/>
    </row>
    <row r="506" spans="2:7" ht="13.2" x14ac:dyDescent="0.25">
      <c r="B506" s="17"/>
      <c r="C506" s="17"/>
      <c r="D506" s="17"/>
      <c r="E506" s="17"/>
      <c r="F506" s="17"/>
      <c r="G506" s="17"/>
    </row>
    <row r="507" spans="2:7" ht="13.2" x14ac:dyDescent="0.25">
      <c r="B507" s="17"/>
      <c r="C507" s="17"/>
      <c r="D507" s="17"/>
      <c r="E507" s="17"/>
      <c r="F507" s="17"/>
      <c r="G507" s="17"/>
    </row>
    <row r="508" spans="2:7" ht="13.2" x14ac:dyDescent="0.25">
      <c r="B508" s="17"/>
      <c r="C508" s="17"/>
      <c r="D508" s="17"/>
      <c r="E508" s="17"/>
      <c r="F508" s="17"/>
      <c r="G508" s="17"/>
    </row>
    <row r="509" spans="2:7" ht="13.2" x14ac:dyDescent="0.25">
      <c r="B509" s="17"/>
      <c r="C509" s="17"/>
      <c r="D509" s="17"/>
      <c r="E509" s="17"/>
      <c r="F509" s="17"/>
      <c r="G509" s="17"/>
    </row>
    <row r="510" spans="2:7" ht="13.2" x14ac:dyDescent="0.25">
      <c r="B510" s="17"/>
      <c r="C510" s="17"/>
      <c r="D510" s="17"/>
      <c r="E510" s="17"/>
      <c r="F510" s="17"/>
      <c r="G510" s="17"/>
    </row>
    <row r="511" spans="2:7" ht="13.2" x14ac:dyDescent="0.25">
      <c r="B511" s="17"/>
      <c r="C511" s="17"/>
      <c r="D511" s="17"/>
      <c r="E511" s="17"/>
      <c r="F511" s="17"/>
      <c r="G511" s="17"/>
    </row>
    <row r="512" spans="2:7" ht="13.2" x14ac:dyDescent="0.25">
      <c r="B512" s="17"/>
      <c r="C512" s="17"/>
      <c r="D512" s="17"/>
      <c r="E512" s="17"/>
      <c r="F512" s="17"/>
      <c r="G512" s="17"/>
    </row>
    <row r="513" spans="2:7" ht="13.2" x14ac:dyDescent="0.25">
      <c r="B513" s="17"/>
      <c r="C513" s="17"/>
      <c r="D513" s="17"/>
      <c r="E513" s="17"/>
      <c r="F513" s="17"/>
      <c r="G513" s="17"/>
    </row>
    <row r="514" spans="2:7" ht="13.2" x14ac:dyDescent="0.25">
      <c r="B514" s="17"/>
      <c r="C514" s="17"/>
      <c r="D514" s="17"/>
      <c r="E514" s="17"/>
      <c r="F514" s="17"/>
      <c r="G514" s="17"/>
    </row>
    <row r="515" spans="2:7" ht="13.2" x14ac:dyDescent="0.25">
      <c r="B515" s="17"/>
      <c r="C515" s="17"/>
      <c r="D515" s="17"/>
      <c r="E515" s="17"/>
      <c r="F515" s="17"/>
      <c r="G515" s="17"/>
    </row>
    <row r="516" spans="2:7" ht="13.2" x14ac:dyDescent="0.25">
      <c r="B516" s="17"/>
      <c r="C516" s="17"/>
      <c r="D516" s="17"/>
      <c r="E516" s="17"/>
      <c r="F516" s="17"/>
      <c r="G516" s="17"/>
    </row>
    <row r="517" spans="2:7" ht="13.2" x14ac:dyDescent="0.25">
      <c r="B517" s="17"/>
      <c r="C517" s="17"/>
      <c r="D517" s="17"/>
      <c r="E517" s="17"/>
      <c r="F517" s="17"/>
      <c r="G517" s="17"/>
    </row>
    <row r="518" spans="2:7" ht="13.2" x14ac:dyDescent="0.25">
      <c r="B518" s="17"/>
      <c r="C518" s="17"/>
      <c r="D518" s="17"/>
      <c r="E518" s="17"/>
      <c r="F518" s="17"/>
      <c r="G518" s="17"/>
    </row>
    <row r="519" spans="2:7" ht="13.2" x14ac:dyDescent="0.25">
      <c r="B519" s="17"/>
      <c r="C519" s="17"/>
      <c r="D519" s="17"/>
      <c r="E519" s="17"/>
      <c r="F519" s="17"/>
      <c r="G519" s="17"/>
    </row>
    <row r="520" spans="2:7" ht="13.2" x14ac:dyDescent="0.25">
      <c r="B520" s="17"/>
      <c r="C520" s="17"/>
      <c r="D520" s="17"/>
      <c r="E520" s="17"/>
      <c r="F520" s="17"/>
      <c r="G520" s="17"/>
    </row>
    <row r="521" spans="2:7" ht="13.2" x14ac:dyDescent="0.25">
      <c r="B521" s="17"/>
      <c r="C521" s="17"/>
      <c r="D521" s="17"/>
      <c r="E521" s="17"/>
      <c r="F521" s="17"/>
      <c r="G521" s="17"/>
    </row>
    <row r="522" spans="2:7" ht="13.2" x14ac:dyDescent="0.25">
      <c r="B522" s="17"/>
      <c r="C522" s="17"/>
      <c r="D522" s="17"/>
      <c r="E522" s="17"/>
      <c r="F522" s="17"/>
      <c r="G522" s="17"/>
    </row>
    <row r="523" spans="2:7" ht="13.2" x14ac:dyDescent="0.25">
      <c r="B523" s="17"/>
      <c r="C523" s="17"/>
      <c r="D523" s="17"/>
      <c r="E523" s="17"/>
      <c r="F523" s="17"/>
      <c r="G523" s="17"/>
    </row>
    <row r="524" spans="2:7" ht="13.2" x14ac:dyDescent="0.25">
      <c r="B524" s="17"/>
      <c r="C524" s="17"/>
      <c r="D524" s="17"/>
      <c r="E524" s="17"/>
      <c r="F524" s="17"/>
      <c r="G524" s="17"/>
    </row>
    <row r="525" spans="2:7" ht="13.2" x14ac:dyDescent="0.25">
      <c r="B525" s="17"/>
      <c r="C525" s="17"/>
      <c r="D525" s="17"/>
      <c r="E525" s="17"/>
      <c r="F525" s="17"/>
      <c r="G525" s="17"/>
    </row>
    <row r="526" spans="2:7" ht="13.2" x14ac:dyDescent="0.25">
      <c r="B526" s="17"/>
      <c r="C526" s="17"/>
      <c r="D526" s="17"/>
      <c r="E526" s="17"/>
      <c r="F526" s="17"/>
      <c r="G526" s="17"/>
    </row>
    <row r="527" spans="2:7" ht="13.2" x14ac:dyDescent="0.25">
      <c r="B527" s="17"/>
      <c r="C527" s="17"/>
      <c r="D527" s="17"/>
      <c r="E527" s="17"/>
      <c r="F527" s="17"/>
      <c r="G527" s="17"/>
    </row>
    <row r="528" spans="2:7" ht="13.2" x14ac:dyDescent="0.25">
      <c r="B528" s="17"/>
      <c r="C528" s="17"/>
      <c r="D528" s="17"/>
      <c r="E528" s="17"/>
      <c r="F528" s="17"/>
      <c r="G528" s="17"/>
    </row>
    <row r="529" spans="2:7" ht="13.2" x14ac:dyDescent="0.25">
      <c r="B529" s="17"/>
      <c r="C529" s="17"/>
      <c r="D529" s="17"/>
      <c r="E529" s="17"/>
      <c r="F529" s="17"/>
      <c r="G529" s="17"/>
    </row>
    <row r="530" spans="2:7" ht="13.2" x14ac:dyDescent="0.25">
      <c r="B530" s="17"/>
      <c r="C530" s="17"/>
      <c r="D530" s="17"/>
      <c r="E530" s="17"/>
      <c r="F530" s="17"/>
      <c r="G530" s="17"/>
    </row>
    <row r="531" spans="2:7" ht="13.2" x14ac:dyDescent="0.25">
      <c r="B531" s="17"/>
      <c r="C531" s="17"/>
      <c r="D531" s="17"/>
      <c r="E531" s="17"/>
      <c r="F531" s="17"/>
      <c r="G531" s="17"/>
    </row>
    <row r="532" spans="2:7" ht="13.2" x14ac:dyDescent="0.25">
      <c r="B532" s="17"/>
      <c r="C532" s="17"/>
      <c r="D532" s="17"/>
      <c r="E532" s="17"/>
      <c r="F532" s="17"/>
      <c r="G532" s="17"/>
    </row>
    <row r="533" spans="2:7" ht="13.2" x14ac:dyDescent="0.25">
      <c r="B533" s="17"/>
      <c r="C533" s="17"/>
      <c r="D533" s="17"/>
      <c r="E533" s="17"/>
      <c r="F533" s="17"/>
      <c r="G533" s="17"/>
    </row>
    <row r="534" spans="2:7" ht="13.2" x14ac:dyDescent="0.25">
      <c r="B534" s="17"/>
      <c r="C534" s="17"/>
      <c r="D534" s="17"/>
      <c r="E534" s="17"/>
      <c r="F534" s="17"/>
      <c r="G534" s="17"/>
    </row>
    <row r="535" spans="2:7" ht="13.2" x14ac:dyDescent="0.25">
      <c r="B535" s="17"/>
      <c r="C535" s="17"/>
      <c r="D535" s="17"/>
      <c r="E535" s="17"/>
      <c r="F535" s="17"/>
      <c r="G535" s="17"/>
    </row>
    <row r="536" spans="2:7" ht="13.2" x14ac:dyDescent="0.25">
      <c r="B536" s="17"/>
      <c r="C536" s="17"/>
      <c r="D536" s="17"/>
      <c r="E536" s="17"/>
      <c r="F536" s="17"/>
      <c r="G536" s="17"/>
    </row>
    <row r="537" spans="2:7" ht="13.2" x14ac:dyDescent="0.25">
      <c r="B537" s="17"/>
      <c r="C537" s="17"/>
      <c r="D537" s="17"/>
      <c r="E537" s="17"/>
      <c r="F537" s="17"/>
      <c r="G537" s="17"/>
    </row>
    <row r="538" spans="2:7" ht="13.2" x14ac:dyDescent="0.25">
      <c r="B538" s="17"/>
      <c r="C538" s="17"/>
      <c r="D538" s="17"/>
      <c r="E538" s="17"/>
      <c r="F538" s="17"/>
      <c r="G538" s="17"/>
    </row>
    <row r="539" spans="2:7" ht="13.2" x14ac:dyDescent="0.25">
      <c r="B539" s="17"/>
      <c r="C539" s="17"/>
      <c r="D539" s="17"/>
      <c r="E539" s="17"/>
      <c r="F539" s="17"/>
      <c r="G539" s="17"/>
    </row>
    <row r="540" spans="2:7" ht="13.2" x14ac:dyDescent="0.25">
      <c r="B540" s="17"/>
      <c r="C540" s="17"/>
      <c r="D540" s="17"/>
      <c r="E540" s="17"/>
      <c r="F540" s="17"/>
      <c r="G540" s="17"/>
    </row>
    <row r="541" spans="2:7" ht="13.2" x14ac:dyDescent="0.25">
      <c r="B541" s="17"/>
      <c r="C541" s="17"/>
      <c r="D541" s="17"/>
      <c r="E541" s="17"/>
      <c r="F541" s="17"/>
      <c r="G541" s="17"/>
    </row>
    <row r="542" spans="2:7" ht="13.2" x14ac:dyDescent="0.25">
      <c r="B542" s="17"/>
      <c r="C542" s="17"/>
      <c r="D542" s="17"/>
      <c r="E542" s="17"/>
      <c r="F542" s="17"/>
      <c r="G542" s="17"/>
    </row>
    <row r="543" spans="2:7" ht="13.2" x14ac:dyDescent="0.25">
      <c r="B543" s="17"/>
      <c r="C543" s="17"/>
      <c r="D543" s="17"/>
      <c r="E543" s="17"/>
      <c r="F543" s="17"/>
      <c r="G543" s="17"/>
    </row>
    <row r="544" spans="2:7" ht="13.2" x14ac:dyDescent="0.25">
      <c r="B544" s="17"/>
      <c r="C544" s="17"/>
      <c r="D544" s="17"/>
      <c r="E544" s="17"/>
      <c r="F544" s="17"/>
      <c r="G544" s="17"/>
    </row>
    <row r="545" spans="2:7" ht="13.2" x14ac:dyDescent="0.25">
      <c r="B545" s="17"/>
      <c r="C545" s="17"/>
      <c r="D545" s="17"/>
      <c r="E545" s="17"/>
      <c r="F545" s="17"/>
      <c r="G545" s="17"/>
    </row>
    <row r="546" spans="2:7" ht="13.2" x14ac:dyDescent="0.25">
      <c r="B546" s="17"/>
      <c r="C546" s="17"/>
      <c r="D546" s="17"/>
      <c r="E546" s="17"/>
      <c r="F546" s="17"/>
      <c r="G546" s="17"/>
    </row>
    <row r="547" spans="2:7" ht="13.2" x14ac:dyDescent="0.25">
      <c r="B547" s="17"/>
      <c r="C547" s="17"/>
      <c r="D547" s="17"/>
      <c r="E547" s="17"/>
      <c r="F547" s="17"/>
      <c r="G547" s="17"/>
    </row>
    <row r="548" spans="2:7" ht="13.2" x14ac:dyDescent="0.25">
      <c r="B548" s="17"/>
      <c r="C548" s="17"/>
      <c r="D548" s="17"/>
      <c r="E548" s="17"/>
      <c r="F548" s="17"/>
      <c r="G548" s="17"/>
    </row>
    <row r="549" spans="2:7" ht="13.2" x14ac:dyDescent="0.25">
      <c r="B549" s="17"/>
      <c r="C549" s="17"/>
      <c r="D549" s="17"/>
      <c r="E549" s="17"/>
      <c r="F549" s="17"/>
      <c r="G549" s="17"/>
    </row>
    <row r="550" spans="2:7" ht="13.2" x14ac:dyDescent="0.25">
      <c r="B550" s="17"/>
      <c r="C550" s="17"/>
      <c r="D550" s="17"/>
      <c r="E550" s="17"/>
      <c r="F550" s="17"/>
      <c r="G550" s="17"/>
    </row>
    <row r="551" spans="2:7" ht="13.2" x14ac:dyDescent="0.25">
      <c r="B551" s="17"/>
      <c r="C551" s="17"/>
      <c r="D551" s="17"/>
      <c r="E551" s="17"/>
      <c r="F551" s="17"/>
      <c r="G551" s="17"/>
    </row>
    <row r="552" spans="2:7" ht="13.2" x14ac:dyDescent="0.25">
      <c r="B552" s="17"/>
      <c r="C552" s="17"/>
      <c r="D552" s="17"/>
      <c r="E552" s="17"/>
      <c r="F552" s="17"/>
      <c r="G552" s="17"/>
    </row>
    <row r="553" spans="2:7" ht="13.2" x14ac:dyDescent="0.25">
      <c r="B553" s="17"/>
      <c r="C553" s="17"/>
      <c r="D553" s="17"/>
      <c r="E553" s="17"/>
      <c r="F553" s="17"/>
      <c r="G553" s="17"/>
    </row>
    <row r="554" spans="2:7" ht="13.2" x14ac:dyDescent="0.25">
      <c r="B554" s="17"/>
      <c r="C554" s="17"/>
      <c r="D554" s="17"/>
      <c r="E554" s="17"/>
      <c r="F554" s="17"/>
      <c r="G554" s="17"/>
    </row>
    <row r="555" spans="2:7" ht="13.2" x14ac:dyDescent="0.25">
      <c r="B555" s="17"/>
      <c r="C555" s="17"/>
      <c r="D555" s="17"/>
      <c r="E555" s="17"/>
      <c r="F555" s="17"/>
      <c r="G555" s="17"/>
    </row>
    <row r="556" spans="2:7" ht="13.2" x14ac:dyDescent="0.25">
      <c r="B556" s="17"/>
      <c r="C556" s="17"/>
      <c r="D556" s="17"/>
      <c r="E556" s="17"/>
      <c r="F556" s="17"/>
      <c r="G556" s="17"/>
    </row>
    <row r="557" spans="2:7" ht="13.2" x14ac:dyDescent="0.25">
      <c r="B557" s="17"/>
      <c r="C557" s="17"/>
      <c r="D557" s="17"/>
      <c r="E557" s="17"/>
      <c r="F557" s="17"/>
      <c r="G557" s="17"/>
    </row>
    <row r="558" spans="2:7" ht="13.2" x14ac:dyDescent="0.25">
      <c r="B558" s="17"/>
      <c r="C558" s="17"/>
      <c r="D558" s="17"/>
      <c r="E558" s="17"/>
      <c r="F558" s="17"/>
      <c r="G558" s="17"/>
    </row>
    <row r="559" spans="2:7" ht="13.2" x14ac:dyDescent="0.25">
      <c r="B559" s="17"/>
      <c r="C559" s="17"/>
      <c r="D559" s="17"/>
      <c r="E559" s="17"/>
      <c r="F559" s="17"/>
      <c r="G559" s="17"/>
    </row>
    <row r="560" spans="2:7" ht="13.2" x14ac:dyDescent="0.25">
      <c r="B560" s="17"/>
      <c r="C560" s="17"/>
      <c r="D560" s="17"/>
      <c r="E560" s="17"/>
      <c r="F560" s="17"/>
      <c r="G560" s="17"/>
    </row>
    <row r="561" spans="2:7" ht="13.2" x14ac:dyDescent="0.25">
      <c r="B561" s="17"/>
      <c r="C561" s="17"/>
      <c r="D561" s="17"/>
      <c r="E561" s="17"/>
      <c r="F561" s="17"/>
      <c r="G561" s="17"/>
    </row>
    <row r="562" spans="2:7" ht="13.2" x14ac:dyDescent="0.25">
      <c r="B562" s="17"/>
      <c r="C562" s="17"/>
      <c r="D562" s="17"/>
      <c r="E562" s="17"/>
      <c r="F562" s="17"/>
      <c r="G562" s="17"/>
    </row>
    <row r="563" spans="2:7" ht="13.2" x14ac:dyDescent="0.25">
      <c r="B563" s="17"/>
      <c r="C563" s="17"/>
      <c r="D563" s="17"/>
      <c r="E563" s="17"/>
      <c r="F563" s="17"/>
      <c r="G563" s="17"/>
    </row>
    <row r="564" spans="2:7" ht="13.2" x14ac:dyDescent="0.25">
      <c r="B564" s="17"/>
      <c r="C564" s="17"/>
      <c r="D564" s="17"/>
      <c r="E564" s="17"/>
      <c r="F564" s="17"/>
      <c r="G564" s="17"/>
    </row>
    <row r="565" spans="2:7" ht="13.2" x14ac:dyDescent="0.25">
      <c r="B565" s="17"/>
      <c r="C565" s="17"/>
      <c r="D565" s="17"/>
      <c r="E565" s="17"/>
      <c r="F565" s="17"/>
      <c r="G565" s="17"/>
    </row>
    <row r="566" spans="2:7" ht="13.2" x14ac:dyDescent="0.25">
      <c r="B566" s="17"/>
      <c r="C566" s="17"/>
      <c r="D566" s="17"/>
      <c r="E566" s="17"/>
      <c r="F566" s="17"/>
      <c r="G566" s="17"/>
    </row>
    <row r="567" spans="2:7" ht="13.2" x14ac:dyDescent="0.25">
      <c r="B567" s="17"/>
      <c r="C567" s="17"/>
      <c r="D567" s="17"/>
      <c r="E567" s="17"/>
      <c r="F567" s="17"/>
      <c r="G567" s="17"/>
    </row>
    <row r="568" spans="2:7" ht="13.2" x14ac:dyDescent="0.25">
      <c r="B568" s="17"/>
      <c r="C568" s="17"/>
      <c r="D568" s="17"/>
      <c r="E568" s="17"/>
      <c r="F568" s="17"/>
      <c r="G568" s="17"/>
    </row>
    <row r="569" spans="2:7" ht="13.2" x14ac:dyDescent="0.25">
      <c r="B569" s="17"/>
      <c r="C569" s="17"/>
      <c r="D569" s="17"/>
      <c r="E569" s="17"/>
      <c r="F569" s="17"/>
      <c r="G569" s="17"/>
    </row>
    <row r="570" spans="2:7" ht="13.2" x14ac:dyDescent="0.25">
      <c r="B570" s="17"/>
      <c r="C570" s="17"/>
      <c r="D570" s="17"/>
      <c r="E570" s="17"/>
      <c r="F570" s="17"/>
      <c r="G570" s="17"/>
    </row>
    <row r="571" spans="2:7" ht="13.2" x14ac:dyDescent="0.25">
      <c r="B571" s="17"/>
      <c r="C571" s="17"/>
      <c r="D571" s="17"/>
      <c r="E571" s="17"/>
      <c r="F571" s="17"/>
      <c r="G571" s="17"/>
    </row>
    <row r="572" spans="2:7" ht="13.2" x14ac:dyDescent="0.25">
      <c r="B572" s="17"/>
      <c r="C572" s="17"/>
      <c r="D572" s="17"/>
      <c r="E572" s="17"/>
      <c r="F572" s="17"/>
      <c r="G572" s="17"/>
    </row>
    <row r="573" spans="2:7" ht="13.2" x14ac:dyDescent="0.25">
      <c r="B573" s="17"/>
      <c r="C573" s="17"/>
      <c r="D573" s="17"/>
      <c r="E573" s="17"/>
      <c r="F573" s="17"/>
      <c r="G573" s="17"/>
    </row>
    <row r="574" spans="2:7" ht="13.2" x14ac:dyDescent="0.25">
      <c r="B574" s="17"/>
      <c r="C574" s="17"/>
      <c r="D574" s="17"/>
      <c r="E574" s="17"/>
      <c r="F574" s="17"/>
      <c r="G574" s="17"/>
    </row>
    <row r="575" spans="2:7" ht="13.2" x14ac:dyDescent="0.25">
      <c r="B575" s="17"/>
      <c r="C575" s="17"/>
      <c r="D575" s="17"/>
      <c r="E575" s="17"/>
      <c r="F575" s="17"/>
      <c r="G575" s="17"/>
    </row>
    <row r="576" spans="2:7" ht="13.2" x14ac:dyDescent="0.25">
      <c r="B576" s="17"/>
      <c r="C576" s="17"/>
      <c r="D576" s="17"/>
      <c r="E576" s="17"/>
      <c r="F576" s="17"/>
      <c r="G576" s="17"/>
    </row>
    <row r="577" spans="2:7" ht="13.2" x14ac:dyDescent="0.25">
      <c r="B577" s="17"/>
      <c r="C577" s="17"/>
      <c r="D577" s="17"/>
      <c r="E577" s="17"/>
      <c r="F577" s="17"/>
      <c r="G577" s="17"/>
    </row>
    <row r="578" spans="2:7" ht="13.2" x14ac:dyDescent="0.25">
      <c r="B578" s="17"/>
      <c r="C578" s="17"/>
      <c r="D578" s="17"/>
      <c r="E578" s="17"/>
      <c r="F578" s="17"/>
      <c r="G578" s="17"/>
    </row>
    <row r="579" spans="2:7" ht="13.2" x14ac:dyDescent="0.25">
      <c r="B579" s="17"/>
      <c r="C579" s="17"/>
      <c r="D579" s="17"/>
      <c r="E579" s="17"/>
      <c r="F579" s="17"/>
      <c r="G579" s="17"/>
    </row>
    <row r="580" spans="2:7" ht="13.2" x14ac:dyDescent="0.25">
      <c r="B580" s="17"/>
      <c r="C580" s="17"/>
      <c r="D580" s="17"/>
      <c r="E580" s="17"/>
      <c r="F580" s="17"/>
      <c r="G580" s="17"/>
    </row>
    <row r="581" spans="2:7" ht="13.2" x14ac:dyDescent="0.25">
      <c r="B581" s="17"/>
      <c r="C581" s="17"/>
      <c r="D581" s="17"/>
      <c r="E581" s="17"/>
      <c r="F581" s="17"/>
      <c r="G581" s="17"/>
    </row>
    <row r="582" spans="2:7" ht="13.2" x14ac:dyDescent="0.25">
      <c r="B582" s="17"/>
      <c r="C582" s="17"/>
      <c r="D582" s="17"/>
      <c r="E582" s="17"/>
      <c r="F582" s="17"/>
      <c r="G582" s="17"/>
    </row>
    <row r="583" spans="2:7" ht="13.2" x14ac:dyDescent="0.25">
      <c r="B583" s="17"/>
      <c r="C583" s="17"/>
      <c r="D583" s="17"/>
      <c r="E583" s="17"/>
      <c r="F583" s="17"/>
      <c r="G583" s="17"/>
    </row>
    <row r="584" spans="2:7" ht="13.2" x14ac:dyDescent="0.25">
      <c r="B584" s="17"/>
      <c r="C584" s="17"/>
      <c r="D584" s="17"/>
      <c r="E584" s="17"/>
      <c r="F584" s="17"/>
      <c r="G584" s="17"/>
    </row>
    <row r="585" spans="2:7" ht="13.2" x14ac:dyDescent="0.25">
      <c r="B585" s="17"/>
      <c r="C585" s="17"/>
      <c r="D585" s="17"/>
      <c r="E585" s="17"/>
      <c r="F585" s="17"/>
      <c r="G585" s="17"/>
    </row>
    <row r="586" spans="2:7" ht="13.2" x14ac:dyDescent="0.25">
      <c r="B586" s="17"/>
      <c r="C586" s="17"/>
      <c r="D586" s="17"/>
      <c r="E586" s="17"/>
      <c r="F586" s="17"/>
      <c r="G586" s="17"/>
    </row>
    <row r="587" spans="2:7" ht="13.2" x14ac:dyDescent="0.25">
      <c r="B587" s="17"/>
      <c r="C587" s="17"/>
      <c r="D587" s="17"/>
      <c r="E587" s="17"/>
      <c r="F587" s="17"/>
      <c r="G587" s="17"/>
    </row>
    <row r="588" spans="2:7" ht="13.2" x14ac:dyDescent="0.25">
      <c r="B588" s="17"/>
      <c r="C588" s="17"/>
      <c r="D588" s="17"/>
      <c r="E588" s="17"/>
      <c r="F588" s="17"/>
      <c r="G588" s="17"/>
    </row>
    <row r="589" spans="2:7" ht="13.2" x14ac:dyDescent="0.25">
      <c r="B589" s="17"/>
      <c r="C589" s="17"/>
      <c r="D589" s="17"/>
      <c r="E589" s="17"/>
      <c r="F589" s="17"/>
      <c r="G589" s="17"/>
    </row>
    <row r="590" spans="2:7" ht="13.2" x14ac:dyDescent="0.25">
      <c r="B590" s="17"/>
      <c r="C590" s="17"/>
      <c r="D590" s="17"/>
      <c r="E590" s="17"/>
      <c r="F590" s="17"/>
      <c r="G590" s="17"/>
    </row>
    <row r="591" spans="2:7" ht="13.2" x14ac:dyDescent="0.25">
      <c r="B591" s="17"/>
      <c r="C591" s="17"/>
      <c r="D591" s="17"/>
      <c r="E591" s="17"/>
      <c r="F591" s="17"/>
      <c r="G591" s="17"/>
    </row>
    <row r="592" spans="2:7" ht="13.2" x14ac:dyDescent="0.25">
      <c r="B592" s="17"/>
      <c r="C592" s="17"/>
      <c r="D592" s="17"/>
      <c r="E592" s="17"/>
      <c r="F592" s="17"/>
      <c r="G592" s="17"/>
    </row>
    <row r="593" spans="2:7" ht="13.2" x14ac:dyDescent="0.25">
      <c r="B593" s="17"/>
      <c r="C593" s="17"/>
      <c r="D593" s="17"/>
      <c r="E593" s="17"/>
      <c r="F593" s="17"/>
      <c r="G593" s="17"/>
    </row>
    <row r="594" spans="2:7" ht="13.2" x14ac:dyDescent="0.25">
      <c r="B594" s="17"/>
      <c r="C594" s="17"/>
      <c r="D594" s="17"/>
      <c r="E594" s="17"/>
      <c r="F594" s="17"/>
      <c r="G594" s="17"/>
    </row>
    <row r="595" spans="2:7" ht="13.2" x14ac:dyDescent="0.25">
      <c r="B595" s="17"/>
      <c r="C595" s="17"/>
      <c r="D595" s="17"/>
      <c r="E595" s="17"/>
      <c r="F595" s="17"/>
      <c r="G595" s="17"/>
    </row>
    <row r="596" spans="2:7" ht="13.2" x14ac:dyDescent="0.25">
      <c r="B596" s="17"/>
      <c r="C596" s="17"/>
      <c r="D596" s="17"/>
      <c r="E596" s="17"/>
      <c r="F596" s="17"/>
      <c r="G596" s="17"/>
    </row>
    <row r="597" spans="2:7" ht="13.2" x14ac:dyDescent="0.25">
      <c r="B597" s="17"/>
      <c r="C597" s="17"/>
      <c r="D597" s="17"/>
      <c r="E597" s="17"/>
      <c r="F597" s="17"/>
      <c r="G597" s="17"/>
    </row>
    <row r="598" spans="2:7" ht="13.2" x14ac:dyDescent="0.25">
      <c r="B598" s="17"/>
      <c r="C598" s="17"/>
      <c r="D598" s="17"/>
      <c r="E598" s="17"/>
      <c r="F598" s="17"/>
      <c r="G598" s="17"/>
    </row>
    <row r="599" spans="2:7" ht="13.2" x14ac:dyDescent="0.25">
      <c r="B599" s="17"/>
      <c r="C599" s="17"/>
      <c r="D599" s="17"/>
      <c r="E599" s="17"/>
      <c r="F599" s="17"/>
      <c r="G599" s="17"/>
    </row>
    <row r="600" spans="2:7" ht="13.2" x14ac:dyDescent="0.25">
      <c r="B600" s="17"/>
      <c r="C600" s="17"/>
      <c r="D600" s="17"/>
      <c r="E600" s="17"/>
      <c r="F600" s="17"/>
      <c r="G600" s="17"/>
    </row>
    <row r="601" spans="2:7" ht="13.2" x14ac:dyDescent="0.25">
      <c r="B601" s="17"/>
      <c r="C601" s="17"/>
      <c r="D601" s="17"/>
      <c r="E601" s="17"/>
      <c r="F601" s="17"/>
      <c r="G601" s="17"/>
    </row>
    <row r="602" spans="2:7" ht="13.2" x14ac:dyDescent="0.25">
      <c r="B602" s="17"/>
      <c r="C602" s="17"/>
      <c r="D602" s="17"/>
      <c r="E602" s="17"/>
      <c r="F602" s="17"/>
      <c r="G602" s="17"/>
    </row>
    <row r="603" spans="2:7" ht="13.2" x14ac:dyDescent="0.25">
      <c r="B603" s="17"/>
      <c r="C603" s="17"/>
      <c r="D603" s="17"/>
      <c r="E603" s="17"/>
      <c r="F603" s="17"/>
      <c r="G603" s="17"/>
    </row>
    <row r="604" spans="2:7" ht="13.2" x14ac:dyDescent="0.25">
      <c r="B604" s="17"/>
      <c r="C604" s="17"/>
      <c r="D604" s="17"/>
      <c r="E604" s="17"/>
      <c r="F604" s="17"/>
      <c r="G604" s="17"/>
    </row>
    <row r="605" spans="2:7" ht="13.2" x14ac:dyDescent="0.25">
      <c r="B605" s="17"/>
      <c r="C605" s="17"/>
      <c r="D605" s="17"/>
      <c r="E605" s="17"/>
      <c r="F605" s="17"/>
      <c r="G605" s="17"/>
    </row>
    <row r="606" spans="2:7" ht="13.2" x14ac:dyDescent="0.25">
      <c r="B606" s="17"/>
      <c r="C606" s="17"/>
      <c r="D606" s="17"/>
      <c r="E606" s="17"/>
      <c r="F606" s="17"/>
      <c r="G606" s="17"/>
    </row>
    <row r="607" spans="2:7" ht="13.2" x14ac:dyDescent="0.25">
      <c r="B607" s="17"/>
      <c r="C607" s="17"/>
      <c r="D607" s="17"/>
      <c r="E607" s="17"/>
      <c r="F607" s="17"/>
      <c r="G607" s="17"/>
    </row>
    <row r="608" spans="2:7" ht="13.2" x14ac:dyDescent="0.25">
      <c r="B608" s="17"/>
      <c r="C608" s="17"/>
      <c r="D608" s="17"/>
      <c r="E608" s="17"/>
      <c r="F608" s="17"/>
      <c r="G608" s="17"/>
    </row>
    <row r="609" spans="2:7" ht="13.2" x14ac:dyDescent="0.25">
      <c r="B609" s="17"/>
      <c r="C609" s="17"/>
      <c r="D609" s="17"/>
      <c r="E609" s="17"/>
      <c r="F609" s="17"/>
      <c r="G609" s="17"/>
    </row>
    <row r="610" spans="2:7" ht="13.2" x14ac:dyDescent="0.25">
      <c r="B610" s="17"/>
      <c r="C610" s="17"/>
      <c r="D610" s="17"/>
      <c r="E610" s="17"/>
      <c r="F610" s="17"/>
      <c r="G610" s="17"/>
    </row>
    <row r="611" spans="2:7" ht="13.2" x14ac:dyDescent="0.25">
      <c r="B611" s="17"/>
      <c r="C611" s="17"/>
      <c r="D611" s="17"/>
      <c r="E611" s="17"/>
      <c r="F611" s="17"/>
      <c r="G611" s="17"/>
    </row>
    <row r="612" spans="2:7" ht="13.2" x14ac:dyDescent="0.25">
      <c r="B612" s="17"/>
      <c r="C612" s="17"/>
      <c r="D612" s="17"/>
      <c r="E612" s="17"/>
      <c r="F612" s="17"/>
      <c r="G612" s="17"/>
    </row>
    <row r="613" spans="2:7" ht="13.2" x14ac:dyDescent="0.25">
      <c r="B613" s="17"/>
      <c r="C613" s="17"/>
      <c r="D613" s="17"/>
      <c r="E613" s="17"/>
      <c r="F613" s="17"/>
      <c r="G613" s="17"/>
    </row>
    <row r="614" spans="2:7" ht="13.2" x14ac:dyDescent="0.25">
      <c r="B614" s="17"/>
      <c r="C614" s="17"/>
      <c r="D614" s="17"/>
      <c r="E614" s="17"/>
      <c r="F614" s="17"/>
      <c r="G614" s="17"/>
    </row>
    <row r="615" spans="2:7" ht="13.2" x14ac:dyDescent="0.25">
      <c r="B615" s="17"/>
      <c r="C615" s="17"/>
      <c r="D615" s="17"/>
      <c r="E615" s="17"/>
      <c r="F615" s="17"/>
      <c r="G615" s="17"/>
    </row>
    <row r="616" spans="2:7" ht="13.2" x14ac:dyDescent="0.25">
      <c r="B616" s="17"/>
      <c r="C616" s="17"/>
      <c r="D616" s="17"/>
      <c r="E616" s="17"/>
      <c r="F616" s="17"/>
      <c r="G616" s="17"/>
    </row>
    <row r="617" spans="2:7" ht="13.2" x14ac:dyDescent="0.25">
      <c r="B617" s="17"/>
      <c r="C617" s="17"/>
      <c r="D617" s="17"/>
      <c r="E617" s="17"/>
      <c r="F617" s="17"/>
      <c r="G617" s="17"/>
    </row>
    <row r="618" spans="2:7" ht="13.2" x14ac:dyDescent="0.25">
      <c r="B618" s="17"/>
      <c r="C618" s="17"/>
      <c r="D618" s="17"/>
      <c r="E618" s="17"/>
      <c r="F618" s="17"/>
      <c r="G618" s="17"/>
    </row>
    <row r="619" spans="2:7" ht="13.2" x14ac:dyDescent="0.25">
      <c r="B619" s="17"/>
      <c r="C619" s="17"/>
      <c r="D619" s="17"/>
      <c r="E619" s="17"/>
      <c r="F619" s="17"/>
      <c r="G619" s="17"/>
    </row>
    <row r="620" spans="2:7" ht="13.2" x14ac:dyDescent="0.25">
      <c r="B620" s="17"/>
      <c r="C620" s="17"/>
      <c r="D620" s="17"/>
      <c r="E620" s="17"/>
      <c r="F620" s="17"/>
      <c r="G620" s="17"/>
    </row>
    <row r="621" spans="2:7" ht="13.2" x14ac:dyDescent="0.25">
      <c r="B621" s="17"/>
      <c r="C621" s="17"/>
      <c r="D621" s="17"/>
      <c r="E621" s="17"/>
      <c r="F621" s="17"/>
      <c r="G621" s="17"/>
    </row>
    <row r="622" spans="2:7" ht="13.2" x14ac:dyDescent="0.25">
      <c r="B622" s="17"/>
      <c r="C622" s="17"/>
      <c r="D622" s="17"/>
      <c r="E622" s="17"/>
      <c r="F622" s="17"/>
      <c r="G622" s="17"/>
    </row>
    <row r="623" spans="2:7" ht="13.2" x14ac:dyDescent="0.25">
      <c r="B623" s="17"/>
      <c r="C623" s="17"/>
      <c r="D623" s="17"/>
      <c r="E623" s="17"/>
      <c r="F623" s="17"/>
      <c r="G623" s="17"/>
    </row>
    <row r="624" spans="2:7" ht="13.2" x14ac:dyDescent="0.25">
      <c r="B624" s="17"/>
      <c r="C624" s="17"/>
      <c r="D624" s="17"/>
      <c r="E624" s="17"/>
      <c r="F624" s="17"/>
      <c r="G624" s="17"/>
    </row>
    <row r="625" spans="2:7" ht="13.2" x14ac:dyDescent="0.25">
      <c r="B625" s="17"/>
      <c r="C625" s="17"/>
      <c r="D625" s="17"/>
      <c r="E625" s="17"/>
      <c r="F625" s="17"/>
      <c r="G625" s="17"/>
    </row>
    <row r="626" spans="2:7" ht="13.2" x14ac:dyDescent="0.25">
      <c r="B626" s="17"/>
      <c r="C626" s="17"/>
      <c r="D626" s="17"/>
      <c r="E626" s="17"/>
      <c r="F626" s="17"/>
      <c r="G626" s="17"/>
    </row>
    <row r="627" spans="2:7" ht="13.2" x14ac:dyDescent="0.25">
      <c r="B627" s="17"/>
      <c r="C627" s="17"/>
      <c r="D627" s="17"/>
      <c r="E627" s="17"/>
      <c r="F627" s="17"/>
      <c r="G627" s="17"/>
    </row>
    <row r="628" spans="2:7" ht="13.2" x14ac:dyDescent="0.25">
      <c r="B628" s="17"/>
      <c r="C628" s="17"/>
      <c r="D628" s="17"/>
      <c r="E628" s="17"/>
      <c r="F628" s="17"/>
      <c r="G628" s="17"/>
    </row>
    <row r="629" spans="2:7" ht="13.2" x14ac:dyDescent="0.25">
      <c r="B629" s="17"/>
      <c r="C629" s="17"/>
      <c r="D629" s="17"/>
      <c r="E629" s="17"/>
      <c r="F629" s="17"/>
      <c r="G629" s="17"/>
    </row>
    <row r="630" spans="2:7" ht="13.2" x14ac:dyDescent="0.25">
      <c r="B630" s="17"/>
      <c r="C630" s="17"/>
      <c r="D630" s="17"/>
      <c r="E630" s="17"/>
      <c r="F630" s="17"/>
      <c r="G630" s="17"/>
    </row>
    <row r="631" spans="2:7" ht="13.2" x14ac:dyDescent="0.25">
      <c r="B631" s="17"/>
      <c r="C631" s="17"/>
      <c r="D631" s="17"/>
      <c r="E631" s="17"/>
      <c r="F631" s="17"/>
      <c r="G631" s="17"/>
    </row>
    <row r="632" spans="2:7" ht="13.2" x14ac:dyDescent="0.25">
      <c r="B632" s="17"/>
      <c r="C632" s="17"/>
      <c r="D632" s="17"/>
      <c r="E632" s="17"/>
      <c r="F632" s="17"/>
      <c r="G632" s="17"/>
    </row>
    <row r="633" spans="2:7" ht="13.2" x14ac:dyDescent="0.25">
      <c r="B633" s="17"/>
      <c r="C633" s="17"/>
      <c r="D633" s="17"/>
      <c r="E633" s="17"/>
      <c r="F633" s="17"/>
      <c r="G633" s="17"/>
    </row>
    <row r="634" spans="2:7" ht="13.2" x14ac:dyDescent="0.25">
      <c r="B634" s="17"/>
      <c r="C634" s="17"/>
      <c r="D634" s="17"/>
      <c r="E634" s="17"/>
      <c r="F634" s="17"/>
      <c r="G634" s="17"/>
    </row>
    <row r="635" spans="2:7" ht="13.2" x14ac:dyDescent="0.25">
      <c r="B635" s="17"/>
      <c r="C635" s="17"/>
      <c r="D635" s="17"/>
      <c r="E635" s="17"/>
      <c r="F635" s="17"/>
      <c r="G635" s="17"/>
    </row>
    <row r="636" spans="2:7" ht="13.2" x14ac:dyDescent="0.25">
      <c r="B636" s="17"/>
      <c r="C636" s="17"/>
      <c r="D636" s="17"/>
      <c r="E636" s="17"/>
      <c r="F636" s="17"/>
      <c r="G636" s="17"/>
    </row>
    <row r="637" spans="2:7" ht="13.2" x14ac:dyDescent="0.25">
      <c r="B637" s="17"/>
      <c r="C637" s="17"/>
      <c r="D637" s="17"/>
      <c r="E637" s="17"/>
      <c r="F637" s="17"/>
      <c r="G637" s="17"/>
    </row>
    <row r="638" spans="2:7" ht="13.2" x14ac:dyDescent="0.25">
      <c r="B638" s="17"/>
      <c r="C638" s="17"/>
      <c r="D638" s="17"/>
      <c r="E638" s="17"/>
      <c r="F638" s="17"/>
      <c r="G638" s="17"/>
    </row>
    <row r="639" spans="2:7" ht="13.2" x14ac:dyDescent="0.25">
      <c r="B639" s="17"/>
      <c r="C639" s="17"/>
      <c r="D639" s="17"/>
      <c r="E639" s="17"/>
      <c r="F639" s="17"/>
      <c r="G639" s="17"/>
    </row>
    <row r="640" spans="2:7" ht="13.2" x14ac:dyDescent="0.25">
      <c r="B640" s="17"/>
      <c r="C640" s="17"/>
      <c r="D640" s="17"/>
      <c r="E640" s="17"/>
      <c r="F640" s="17"/>
      <c r="G640" s="17"/>
    </row>
    <row r="641" spans="2:7" ht="13.2" x14ac:dyDescent="0.25">
      <c r="B641" s="17"/>
      <c r="C641" s="17"/>
      <c r="D641" s="17"/>
      <c r="E641" s="17"/>
      <c r="F641" s="17"/>
      <c r="G641" s="17"/>
    </row>
    <row r="642" spans="2:7" ht="13.2" x14ac:dyDescent="0.25">
      <c r="B642" s="17"/>
      <c r="C642" s="17"/>
      <c r="D642" s="17"/>
      <c r="E642" s="17"/>
      <c r="F642" s="17"/>
      <c r="G642" s="17"/>
    </row>
    <row r="643" spans="2:7" ht="13.2" x14ac:dyDescent="0.25">
      <c r="B643" s="17"/>
      <c r="C643" s="17"/>
      <c r="D643" s="17"/>
      <c r="E643" s="17"/>
      <c r="F643" s="17"/>
      <c r="G643" s="17"/>
    </row>
    <row r="644" spans="2:7" ht="13.2" x14ac:dyDescent="0.25">
      <c r="B644" s="17"/>
      <c r="C644" s="17"/>
      <c r="D644" s="17"/>
      <c r="E644" s="17"/>
      <c r="F644" s="17"/>
      <c r="G644" s="17"/>
    </row>
    <row r="645" spans="2:7" ht="13.2" x14ac:dyDescent="0.25">
      <c r="B645" s="17"/>
      <c r="C645" s="17"/>
      <c r="D645" s="17"/>
      <c r="E645" s="17"/>
      <c r="F645" s="17"/>
      <c r="G645" s="17"/>
    </row>
    <row r="646" spans="2:7" ht="13.2" x14ac:dyDescent="0.25">
      <c r="B646" s="17"/>
      <c r="C646" s="17"/>
      <c r="D646" s="17"/>
      <c r="E646" s="17"/>
      <c r="F646" s="17"/>
      <c r="G646" s="17"/>
    </row>
    <row r="647" spans="2:7" ht="13.2" x14ac:dyDescent="0.25">
      <c r="B647" s="17"/>
      <c r="C647" s="17"/>
      <c r="D647" s="17"/>
      <c r="E647" s="17"/>
      <c r="F647" s="17"/>
      <c r="G647" s="17"/>
    </row>
    <row r="648" spans="2:7" ht="13.2" x14ac:dyDescent="0.25">
      <c r="B648" s="17"/>
      <c r="C648" s="17"/>
      <c r="D648" s="17"/>
      <c r="E648" s="17"/>
      <c r="F648" s="17"/>
      <c r="G648" s="17"/>
    </row>
    <row r="649" spans="2:7" ht="13.2" x14ac:dyDescent="0.25">
      <c r="B649" s="17"/>
      <c r="C649" s="17"/>
      <c r="D649" s="17"/>
      <c r="E649" s="17"/>
      <c r="F649" s="17"/>
      <c r="G649" s="17"/>
    </row>
    <row r="650" spans="2:7" ht="13.2" x14ac:dyDescent="0.25">
      <c r="B650" s="17"/>
      <c r="C650" s="17"/>
      <c r="D650" s="17"/>
      <c r="E650" s="17"/>
      <c r="F650" s="17"/>
      <c r="G650" s="17"/>
    </row>
    <row r="651" spans="2:7" ht="13.2" x14ac:dyDescent="0.25">
      <c r="B651" s="17"/>
      <c r="C651" s="17"/>
      <c r="D651" s="17"/>
      <c r="E651" s="17"/>
      <c r="F651" s="17"/>
      <c r="G651" s="17"/>
    </row>
    <row r="652" spans="2:7" ht="13.2" x14ac:dyDescent="0.25">
      <c r="B652" s="17"/>
      <c r="C652" s="17"/>
      <c r="D652" s="17"/>
      <c r="E652" s="17"/>
      <c r="F652" s="17"/>
      <c r="G652" s="17"/>
    </row>
    <row r="653" spans="2:7" ht="13.2" x14ac:dyDescent="0.25">
      <c r="B653" s="17"/>
      <c r="C653" s="17"/>
      <c r="D653" s="17"/>
      <c r="E653" s="17"/>
      <c r="F653" s="17"/>
      <c r="G653" s="17"/>
    </row>
    <row r="654" spans="2:7" ht="13.2" x14ac:dyDescent="0.25">
      <c r="B654" s="17"/>
      <c r="C654" s="17"/>
      <c r="D654" s="17"/>
      <c r="E654" s="17"/>
      <c r="F654" s="17"/>
      <c r="G654" s="17"/>
    </row>
    <row r="655" spans="2:7" ht="13.2" x14ac:dyDescent="0.25">
      <c r="B655" s="17"/>
      <c r="C655" s="17"/>
      <c r="D655" s="17"/>
      <c r="E655" s="17"/>
      <c r="F655" s="17"/>
      <c r="G655" s="17"/>
    </row>
    <row r="656" spans="2:7" ht="13.2" x14ac:dyDescent="0.25">
      <c r="B656" s="17"/>
      <c r="C656" s="17"/>
      <c r="D656" s="17"/>
      <c r="E656" s="17"/>
      <c r="F656" s="17"/>
      <c r="G656" s="17"/>
    </row>
    <row r="657" spans="2:7" ht="13.2" x14ac:dyDescent="0.25">
      <c r="B657" s="17"/>
      <c r="C657" s="17"/>
      <c r="D657" s="17"/>
      <c r="E657" s="17"/>
      <c r="F657" s="17"/>
      <c r="G657" s="17"/>
    </row>
    <row r="658" spans="2:7" ht="13.2" x14ac:dyDescent="0.25">
      <c r="B658" s="17"/>
      <c r="C658" s="17"/>
      <c r="D658" s="17"/>
      <c r="E658" s="17"/>
      <c r="F658" s="17"/>
      <c r="G658" s="17"/>
    </row>
    <row r="659" spans="2:7" ht="13.2" x14ac:dyDescent="0.25">
      <c r="B659" s="17"/>
      <c r="C659" s="17"/>
      <c r="D659" s="17"/>
      <c r="E659" s="17"/>
      <c r="F659" s="17"/>
      <c r="G659" s="17"/>
    </row>
    <row r="660" spans="2:7" ht="13.2" x14ac:dyDescent="0.25">
      <c r="B660" s="17"/>
      <c r="C660" s="17"/>
      <c r="D660" s="17"/>
      <c r="E660" s="17"/>
      <c r="F660" s="17"/>
      <c r="G660" s="17"/>
    </row>
    <row r="661" spans="2:7" ht="13.2" x14ac:dyDescent="0.25">
      <c r="B661" s="17"/>
      <c r="C661" s="17"/>
      <c r="D661" s="17"/>
      <c r="E661" s="17"/>
      <c r="F661" s="17"/>
      <c r="G661" s="17"/>
    </row>
    <row r="662" spans="2:7" ht="13.2" x14ac:dyDescent="0.25">
      <c r="B662" s="17"/>
      <c r="C662" s="17"/>
      <c r="D662" s="17"/>
      <c r="E662" s="17"/>
      <c r="F662" s="17"/>
      <c r="G662" s="17"/>
    </row>
    <row r="663" spans="2:7" ht="13.2" x14ac:dyDescent="0.25">
      <c r="B663" s="17"/>
      <c r="C663" s="17"/>
      <c r="D663" s="17"/>
      <c r="E663" s="17"/>
      <c r="F663" s="17"/>
      <c r="G663" s="17"/>
    </row>
    <row r="664" spans="2:7" ht="13.2" x14ac:dyDescent="0.25">
      <c r="B664" s="17"/>
      <c r="C664" s="17"/>
      <c r="D664" s="17"/>
      <c r="E664" s="17"/>
      <c r="F664" s="17"/>
      <c r="G664" s="17"/>
    </row>
    <row r="665" spans="2:7" ht="13.2" x14ac:dyDescent="0.25">
      <c r="B665" s="17"/>
      <c r="C665" s="17"/>
      <c r="D665" s="17"/>
      <c r="E665" s="17"/>
      <c r="F665" s="17"/>
      <c r="G665" s="17"/>
    </row>
    <row r="666" spans="2:7" ht="13.2" x14ac:dyDescent="0.25">
      <c r="B666" s="17"/>
      <c r="C666" s="17"/>
      <c r="D666" s="17"/>
      <c r="E666" s="17"/>
      <c r="F666" s="17"/>
      <c r="G666" s="17"/>
    </row>
    <row r="667" spans="2:7" ht="13.2" x14ac:dyDescent="0.25">
      <c r="B667" s="17"/>
      <c r="C667" s="17"/>
      <c r="D667" s="17"/>
      <c r="E667" s="17"/>
      <c r="F667" s="17"/>
      <c r="G667" s="17"/>
    </row>
    <row r="668" spans="2:7" ht="13.2" x14ac:dyDescent="0.25">
      <c r="B668" s="17"/>
      <c r="C668" s="17"/>
      <c r="D668" s="17"/>
      <c r="E668" s="17"/>
      <c r="F668" s="17"/>
      <c r="G668" s="17"/>
    </row>
    <row r="669" spans="2:7" ht="13.2" x14ac:dyDescent="0.25">
      <c r="B669" s="17"/>
      <c r="C669" s="17"/>
      <c r="D669" s="17"/>
      <c r="E669" s="17"/>
      <c r="F669" s="17"/>
      <c r="G669" s="17"/>
    </row>
    <row r="670" spans="2:7" ht="13.2" x14ac:dyDescent="0.25">
      <c r="B670" s="17"/>
      <c r="C670" s="17"/>
      <c r="D670" s="17"/>
      <c r="E670" s="17"/>
      <c r="F670" s="17"/>
      <c r="G670" s="17"/>
    </row>
    <row r="671" spans="2:7" ht="13.2" x14ac:dyDescent="0.25">
      <c r="B671" s="17"/>
      <c r="C671" s="17"/>
      <c r="D671" s="17"/>
      <c r="E671" s="17"/>
      <c r="F671" s="17"/>
      <c r="G671" s="17"/>
    </row>
    <row r="672" spans="2:7" ht="13.2" x14ac:dyDescent="0.25">
      <c r="B672" s="17"/>
      <c r="C672" s="17"/>
      <c r="D672" s="17"/>
      <c r="E672" s="17"/>
      <c r="F672" s="17"/>
      <c r="G672" s="17"/>
    </row>
    <row r="673" spans="2:7" ht="13.2" x14ac:dyDescent="0.25">
      <c r="B673" s="17"/>
      <c r="C673" s="17"/>
      <c r="D673" s="17"/>
      <c r="E673" s="17"/>
      <c r="F673" s="17"/>
      <c r="G673" s="17"/>
    </row>
    <row r="674" spans="2:7" ht="13.2" x14ac:dyDescent="0.25">
      <c r="B674" s="17"/>
      <c r="C674" s="17"/>
      <c r="D674" s="17"/>
      <c r="E674" s="17"/>
      <c r="F674" s="17"/>
      <c r="G674" s="17"/>
    </row>
    <row r="675" spans="2:7" ht="13.2" x14ac:dyDescent="0.25">
      <c r="B675" s="17"/>
      <c r="C675" s="17"/>
      <c r="D675" s="17"/>
      <c r="E675" s="17"/>
      <c r="F675" s="17"/>
      <c r="G675" s="17"/>
    </row>
    <row r="676" spans="2:7" ht="13.2" x14ac:dyDescent="0.25">
      <c r="B676" s="17"/>
      <c r="C676" s="17"/>
      <c r="D676" s="17"/>
      <c r="E676" s="17"/>
      <c r="F676" s="17"/>
      <c r="G676" s="17"/>
    </row>
    <row r="677" spans="2:7" ht="13.2" x14ac:dyDescent="0.25">
      <c r="B677" s="17"/>
      <c r="C677" s="17"/>
      <c r="D677" s="17"/>
      <c r="E677" s="17"/>
      <c r="F677" s="17"/>
      <c r="G677" s="17"/>
    </row>
    <row r="678" spans="2:7" ht="13.2" x14ac:dyDescent="0.25">
      <c r="B678" s="17"/>
      <c r="C678" s="17"/>
      <c r="D678" s="17"/>
      <c r="E678" s="17"/>
      <c r="F678" s="17"/>
      <c r="G678" s="17"/>
    </row>
    <row r="679" spans="2:7" ht="13.2" x14ac:dyDescent="0.25">
      <c r="B679" s="17"/>
      <c r="C679" s="17"/>
      <c r="D679" s="17"/>
      <c r="E679" s="17"/>
      <c r="F679" s="17"/>
      <c r="G679" s="17"/>
    </row>
    <row r="680" spans="2:7" ht="13.2" x14ac:dyDescent="0.25">
      <c r="B680" s="17"/>
      <c r="C680" s="17"/>
      <c r="D680" s="17"/>
      <c r="E680" s="17"/>
      <c r="F680" s="17"/>
      <c r="G680" s="17"/>
    </row>
    <row r="681" spans="2:7" ht="13.2" x14ac:dyDescent="0.25">
      <c r="B681" s="17"/>
      <c r="C681" s="17"/>
      <c r="D681" s="17"/>
      <c r="E681" s="17"/>
      <c r="F681" s="17"/>
      <c r="G681" s="17"/>
    </row>
    <row r="682" spans="2:7" ht="13.2" x14ac:dyDescent="0.25">
      <c r="B682" s="17"/>
      <c r="C682" s="17"/>
      <c r="D682" s="17"/>
      <c r="E682" s="17"/>
      <c r="F682" s="17"/>
      <c r="G682" s="17"/>
    </row>
    <row r="683" spans="2:7" ht="13.2" x14ac:dyDescent="0.25">
      <c r="B683" s="17"/>
      <c r="C683" s="17"/>
      <c r="D683" s="17"/>
      <c r="E683" s="17"/>
      <c r="F683" s="17"/>
      <c r="G683" s="17"/>
    </row>
    <row r="684" spans="2:7" ht="13.2" x14ac:dyDescent="0.25">
      <c r="B684" s="17"/>
      <c r="C684" s="17"/>
      <c r="D684" s="17"/>
      <c r="E684" s="17"/>
      <c r="F684" s="17"/>
      <c r="G684" s="17"/>
    </row>
    <row r="685" spans="2:7" ht="13.2" x14ac:dyDescent="0.25">
      <c r="B685" s="17"/>
      <c r="C685" s="17"/>
      <c r="D685" s="17"/>
      <c r="E685" s="17"/>
      <c r="F685" s="17"/>
      <c r="G685" s="17"/>
    </row>
    <row r="686" spans="2:7" ht="13.2" x14ac:dyDescent="0.25">
      <c r="B686" s="17"/>
      <c r="C686" s="17"/>
      <c r="D686" s="17"/>
      <c r="E686" s="17"/>
      <c r="F686" s="17"/>
      <c r="G686" s="17"/>
    </row>
    <row r="687" spans="2:7" ht="13.2" x14ac:dyDescent="0.25">
      <c r="B687" s="17"/>
      <c r="C687" s="17"/>
      <c r="D687" s="17"/>
      <c r="E687" s="17"/>
      <c r="F687" s="17"/>
      <c r="G687" s="17"/>
    </row>
    <row r="688" spans="2:7" ht="13.2" x14ac:dyDescent="0.25">
      <c r="B688" s="17"/>
      <c r="C688" s="17"/>
      <c r="D688" s="17"/>
      <c r="E688" s="17"/>
      <c r="F688" s="17"/>
      <c r="G688" s="17"/>
    </row>
    <row r="689" spans="2:7" ht="13.2" x14ac:dyDescent="0.25">
      <c r="B689" s="17"/>
      <c r="C689" s="17"/>
      <c r="D689" s="17"/>
      <c r="E689" s="17"/>
      <c r="F689" s="17"/>
      <c r="G689" s="17"/>
    </row>
    <row r="690" spans="2:7" ht="13.2" x14ac:dyDescent="0.25">
      <c r="B690" s="17"/>
      <c r="C690" s="17"/>
      <c r="D690" s="17"/>
      <c r="E690" s="17"/>
      <c r="F690" s="17"/>
      <c r="G690" s="17"/>
    </row>
    <row r="691" spans="2:7" ht="13.2" x14ac:dyDescent="0.25">
      <c r="B691" s="17"/>
      <c r="C691" s="17"/>
      <c r="D691" s="17"/>
      <c r="E691" s="17"/>
      <c r="F691" s="17"/>
      <c r="G691" s="17"/>
    </row>
    <row r="692" spans="2:7" ht="13.2" x14ac:dyDescent="0.25">
      <c r="B692" s="17"/>
      <c r="C692" s="17"/>
      <c r="D692" s="17"/>
      <c r="E692" s="17"/>
      <c r="F692" s="17"/>
      <c r="G692" s="17"/>
    </row>
    <row r="693" spans="2:7" ht="13.2" x14ac:dyDescent="0.25">
      <c r="B693" s="17"/>
      <c r="C693" s="17"/>
      <c r="D693" s="17"/>
      <c r="E693" s="17"/>
      <c r="F693" s="17"/>
      <c r="G693" s="17"/>
    </row>
    <row r="694" spans="2:7" ht="13.2" x14ac:dyDescent="0.25">
      <c r="B694" s="17"/>
      <c r="C694" s="17"/>
      <c r="D694" s="17"/>
      <c r="E694" s="17"/>
      <c r="F694" s="17"/>
      <c r="G694" s="17"/>
    </row>
    <row r="695" spans="2:7" ht="13.2" x14ac:dyDescent="0.25">
      <c r="B695" s="17"/>
      <c r="C695" s="17"/>
      <c r="D695" s="17"/>
      <c r="E695" s="17"/>
      <c r="F695" s="17"/>
      <c r="G695" s="17"/>
    </row>
    <row r="696" spans="2:7" ht="13.2" x14ac:dyDescent="0.25">
      <c r="B696" s="17"/>
      <c r="C696" s="17"/>
      <c r="D696" s="17"/>
      <c r="E696" s="17"/>
      <c r="F696" s="17"/>
      <c r="G696" s="17"/>
    </row>
    <row r="697" spans="2:7" ht="13.2" x14ac:dyDescent="0.25">
      <c r="B697" s="17"/>
      <c r="C697" s="17"/>
      <c r="D697" s="17"/>
      <c r="E697" s="17"/>
      <c r="F697" s="17"/>
      <c r="G697" s="17"/>
    </row>
    <row r="698" spans="2:7" ht="13.2" x14ac:dyDescent="0.25">
      <c r="B698" s="17"/>
      <c r="C698" s="17"/>
      <c r="D698" s="17"/>
      <c r="E698" s="17"/>
      <c r="F698" s="17"/>
      <c r="G698" s="17"/>
    </row>
    <row r="699" spans="2:7" ht="13.2" x14ac:dyDescent="0.25">
      <c r="B699" s="17"/>
      <c r="C699" s="17"/>
      <c r="D699" s="17"/>
      <c r="E699" s="17"/>
      <c r="F699" s="17"/>
      <c r="G699" s="17"/>
    </row>
    <row r="700" spans="2:7" ht="13.2" x14ac:dyDescent="0.25">
      <c r="B700" s="17"/>
      <c r="C700" s="17"/>
      <c r="D700" s="17"/>
      <c r="E700" s="17"/>
      <c r="F700" s="17"/>
      <c r="G700" s="17"/>
    </row>
    <row r="701" spans="2:7" ht="13.2" x14ac:dyDescent="0.25">
      <c r="B701" s="17"/>
      <c r="C701" s="17"/>
      <c r="D701" s="17"/>
      <c r="E701" s="17"/>
      <c r="F701" s="17"/>
      <c r="G701" s="17"/>
    </row>
    <row r="702" spans="2:7" ht="13.2" x14ac:dyDescent="0.25">
      <c r="B702" s="17"/>
      <c r="C702" s="17"/>
      <c r="D702" s="17"/>
      <c r="E702" s="17"/>
      <c r="F702" s="17"/>
      <c r="G702" s="17"/>
    </row>
    <row r="703" spans="2:7" ht="13.2" x14ac:dyDescent="0.25">
      <c r="B703" s="17"/>
      <c r="C703" s="17"/>
      <c r="D703" s="17"/>
      <c r="E703" s="17"/>
      <c r="F703" s="17"/>
      <c r="G703" s="17"/>
    </row>
    <row r="704" spans="2:7" ht="13.2" x14ac:dyDescent="0.25">
      <c r="B704" s="17"/>
      <c r="C704" s="17"/>
      <c r="D704" s="17"/>
      <c r="E704" s="17"/>
      <c r="F704" s="17"/>
      <c r="G704" s="17"/>
    </row>
    <row r="705" spans="2:7" ht="13.2" x14ac:dyDescent="0.25">
      <c r="B705" s="17"/>
      <c r="C705" s="17"/>
      <c r="D705" s="17"/>
      <c r="E705" s="17"/>
      <c r="F705" s="17"/>
      <c r="G705" s="17"/>
    </row>
    <row r="706" spans="2:7" ht="13.2" x14ac:dyDescent="0.25">
      <c r="B706" s="17"/>
      <c r="C706" s="17"/>
      <c r="D706" s="17"/>
      <c r="E706" s="17"/>
      <c r="F706" s="17"/>
      <c r="G706" s="17"/>
    </row>
    <row r="707" spans="2:7" ht="13.2" x14ac:dyDescent="0.25">
      <c r="B707" s="17"/>
      <c r="C707" s="17"/>
      <c r="D707" s="17"/>
      <c r="E707" s="17"/>
      <c r="F707" s="17"/>
      <c r="G707" s="17"/>
    </row>
    <row r="708" spans="2:7" ht="13.2" x14ac:dyDescent="0.25">
      <c r="B708" s="17"/>
      <c r="C708" s="17"/>
      <c r="D708" s="17"/>
      <c r="E708" s="17"/>
      <c r="F708" s="17"/>
      <c r="G708" s="17"/>
    </row>
    <row r="709" spans="2:7" ht="13.2" x14ac:dyDescent="0.25">
      <c r="B709" s="17"/>
      <c r="C709" s="17"/>
      <c r="D709" s="17"/>
      <c r="E709" s="17"/>
      <c r="F709" s="17"/>
      <c r="G709" s="17"/>
    </row>
    <row r="710" spans="2:7" ht="13.2" x14ac:dyDescent="0.25">
      <c r="B710" s="17"/>
      <c r="C710" s="17"/>
      <c r="D710" s="17"/>
      <c r="E710" s="17"/>
      <c r="F710" s="17"/>
      <c r="G710" s="17"/>
    </row>
    <row r="711" spans="2:7" ht="13.2" x14ac:dyDescent="0.25">
      <c r="B711" s="17"/>
      <c r="C711" s="17"/>
      <c r="D711" s="17"/>
      <c r="E711" s="17"/>
      <c r="F711" s="17"/>
      <c r="G711" s="17"/>
    </row>
    <row r="712" spans="2:7" ht="13.2" x14ac:dyDescent="0.25">
      <c r="B712" s="17"/>
      <c r="C712" s="17"/>
      <c r="D712" s="17"/>
      <c r="E712" s="17"/>
      <c r="F712" s="17"/>
      <c r="G712" s="17"/>
    </row>
    <row r="713" spans="2:7" ht="13.2" x14ac:dyDescent="0.25">
      <c r="B713" s="17"/>
      <c r="C713" s="17"/>
      <c r="D713" s="17"/>
      <c r="E713" s="17"/>
      <c r="F713" s="17"/>
      <c r="G713" s="17"/>
    </row>
    <row r="714" spans="2:7" ht="13.2" x14ac:dyDescent="0.25">
      <c r="B714" s="17"/>
      <c r="C714" s="17"/>
      <c r="D714" s="17"/>
      <c r="E714" s="17"/>
      <c r="F714" s="17"/>
      <c r="G714" s="17"/>
    </row>
    <row r="715" spans="2:7" ht="13.2" x14ac:dyDescent="0.25">
      <c r="B715" s="17"/>
      <c r="C715" s="17"/>
      <c r="D715" s="17"/>
      <c r="E715" s="17"/>
      <c r="F715" s="17"/>
      <c r="G715" s="17"/>
    </row>
    <row r="716" spans="2:7" ht="13.2" x14ac:dyDescent="0.25">
      <c r="B716" s="17"/>
      <c r="C716" s="17"/>
      <c r="D716" s="17"/>
      <c r="E716" s="17"/>
      <c r="F716" s="17"/>
      <c r="G716" s="17"/>
    </row>
    <row r="717" spans="2:7" ht="13.2" x14ac:dyDescent="0.25">
      <c r="B717" s="17"/>
      <c r="C717" s="17"/>
      <c r="D717" s="17"/>
      <c r="E717" s="17"/>
      <c r="F717" s="17"/>
      <c r="G717" s="17"/>
    </row>
    <row r="718" spans="2:7" ht="13.2" x14ac:dyDescent="0.25">
      <c r="B718" s="17"/>
      <c r="C718" s="17"/>
      <c r="D718" s="17"/>
      <c r="E718" s="17"/>
      <c r="F718" s="17"/>
      <c r="G718" s="17"/>
    </row>
    <row r="719" spans="2:7" ht="13.2" x14ac:dyDescent="0.25">
      <c r="B719" s="17"/>
      <c r="C719" s="17"/>
      <c r="D719" s="17"/>
      <c r="E719" s="17"/>
      <c r="F719" s="17"/>
      <c r="G719" s="17"/>
    </row>
    <row r="720" spans="2:7" ht="13.2" x14ac:dyDescent="0.25">
      <c r="B720" s="17"/>
      <c r="C720" s="17"/>
      <c r="D720" s="17"/>
      <c r="E720" s="17"/>
      <c r="F720" s="17"/>
      <c r="G720" s="17"/>
    </row>
    <row r="721" spans="2:7" ht="13.2" x14ac:dyDescent="0.25">
      <c r="B721" s="17"/>
      <c r="C721" s="17"/>
      <c r="D721" s="17"/>
      <c r="E721" s="17"/>
      <c r="F721" s="17"/>
      <c r="G721" s="17"/>
    </row>
    <row r="722" spans="2:7" ht="13.2" x14ac:dyDescent="0.25">
      <c r="B722" s="17"/>
      <c r="C722" s="17"/>
      <c r="D722" s="17"/>
      <c r="E722" s="17"/>
      <c r="F722" s="17"/>
      <c r="G722" s="17"/>
    </row>
    <row r="723" spans="2:7" ht="13.2" x14ac:dyDescent="0.25">
      <c r="B723" s="17"/>
      <c r="C723" s="17"/>
      <c r="D723" s="17"/>
      <c r="E723" s="17"/>
      <c r="F723" s="17"/>
      <c r="G723" s="17"/>
    </row>
    <row r="724" spans="2:7" ht="13.2" x14ac:dyDescent="0.25">
      <c r="B724" s="17"/>
      <c r="C724" s="17"/>
      <c r="D724" s="17"/>
      <c r="E724" s="17"/>
      <c r="F724" s="17"/>
      <c r="G724" s="17"/>
    </row>
    <row r="725" spans="2:7" ht="13.2" x14ac:dyDescent="0.25">
      <c r="B725" s="17"/>
      <c r="C725" s="17"/>
      <c r="D725" s="17"/>
      <c r="E725" s="17"/>
      <c r="F725" s="17"/>
      <c r="G725" s="17"/>
    </row>
    <row r="726" spans="2:7" ht="13.2" x14ac:dyDescent="0.25">
      <c r="B726" s="17"/>
      <c r="C726" s="17"/>
      <c r="D726" s="17"/>
      <c r="E726" s="17"/>
      <c r="F726" s="17"/>
      <c r="G726" s="17"/>
    </row>
    <row r="727" spans="2:7" ht="13.2" x14ac:dyDescent="0.25">
      <c r="B727" s="17"/>
      <c r="C727" s="17"/>
      <c r="D727" s="17"/>
      <c r="E727" s="17"/>
      <c r="F727" s="17"/>
      <c r="G727" s="17"/>
    </row>
    <row r="728" spans="2:7" ht="13.2" x14ac:dyDescent="0.25">
      <c r="B728" s="17"/>
      <c r="C728" s="17"/>
      <c r="D728" s="17"/>
      <c r="E728" s="17"/>
      <c r="F728" s="17"/>
      <c r="G728" s="17"/>
    </row>
    <row r="729" spans="2:7" ht="13.2" x14ac:dyDescent="0.25">
      <c r="B729" s="17"/>
      <c r="C729" s="17"/>
      <c r="D729" s="17"/>
      <c r="E729" s="17"/>
      <c r="F729" s="17"/>
      <c r="G729" s="17"/>
    </row>
    <row r="730" spans="2:7" ht="13.2" x14ac:dyDescent="0.25">
      <c r="B730" s="17"/>
      <c r="C730" s="17"/>
      <c r="D730" s="17"/>
      <c r="E730" s="17"/>
      <c r="F730" s="17"/>
      <c r="G730" s="17"/>
    </row>
    <row r="731" spans="2:7" ht="13.2" x14ac:dyDescent="0.25">
      <c r="B731" s="17"/>
      <c r="C731" s="17"/>
      <c r="D731" s="17"/>
      <c r="E731" s="17"/>
      <c r="F731" s="17"/>
      <c r="G731" s="17"/>
    </row>
    <row r="732" spans="2:7" ht="13.2" x14ac:dyDescent="0.25">
      <c r="B732" s="17"/>
      <c r="C732" s="17"/>
      <c r="D732" s="17"/>
      <c r="E732" s="17"/>
      <c r="F732" s="17"/>
      <c r="G732" s="17"/>
    </row>
    <row r="733" spans="2:7" ht="13.2" x14ac:dyDescent="0.25">
      <c r="B733" s="17"/>
      <c r="C733" s="17"/>
      <c r="D733" s="17"/>
      <c r="E733" s="17"/>
      <c r="F733" s="17"/>
      <c r="G733" s="17"/>
    </row>
    <row r="734" spans="2:7" ht="13.2" x14ac:dyDescent="0.25">
      <c r="B734" s="17"/>
      <c r="C734" s="17"/>
      <c r="D734" s="17"/>
      <c r="E734" s="17"/>
      <c r="F734" s="17"/>
      <c r="G734" s="17"/>
    </row>
    <row r="735" spans="2:7" ht="13.2" x14ac:dyDescent="0.25">
      <c r="B735" s="17"/>
      <c r="C735" s="17"/>
      <c r="D735" s="17"/>
      <c r="E735" s="17"/>
      <c r="F735" s="17"/>
      <c r="G735" s="17"/>
    </row>
    <row r="736" spans="2:7" ht="13.2" x14ac:dyDescent="0.25">
      <c r="B736" s="17"/>
      <c r="C736" s="17"/>
      <c r="D736" s="17"/>
      <c r="E736" s="17"/>
      <c r="F736" s="17"/>
      <c r="G736" s="17"/>
    </row>
    <row r="737" spans="2:7" ht="13.2" x14ac:dyDescent="0.25">
      <c r="B737" s="17"/>
      <c r="C737" s="17"/>
      <c r="D737" s="17"/>
      <c r="E737" s="17"/>
      <c r="F737" s="17"/>
      <c r="G737" s="17"/>
    </row>
    <row r="738" spans="2:7" ht="13.2" x14ac:dyDescent="0.25">
      <c r="B738" s="17"/>
      <c r="C738" s="17"/>
      <c r="D738" s="17"/>
      <c r="E738" s="17"/>
      <c r="F738" s="17"/>
      <c r="G738" s="17"/>
    </row>
    <row r="739" spans="2:7" ht="13.2" x14ac:dyDescent="0.25">
      <c r="B739" s="17"/>
      <c r="C739" s="17"/>
      <c r="D739" s="17"/>
      <c r="E739" s="17"/>
      <c r="F739" s="17"/>
      <c r="G739" s="17"/>
    </row>
    <row r="740" spans="2:7" ht="13.2" x14ac:dyDescent="0.25">
      <c r="B740" s="17"/>
      <c r="C740" s="17"/>
      <c r="D740" s="17"/>
      <c r="E740" s="17"/>
      <c r="F740" s="17"/>
      <c r="G740" s="17"/>
    </row>
    <row r="741" spans="2:7" ht="13.2" x14ac:dyDescent="0.25">
      <c r="B741" s="17"/>
      <c r="C741" s="17"/>
      <c r="D741" s="17"/>
      <c r="E741" s="17"/>
      <c r="F741" s="17"/>
      <c r="G741" s="17"/>
    </row>
    <row r="742" spans="2:7" ht="13.2" x14ac:dyDescent="0.25">
      <c r="B742" s="17"/>
      <c r="C742" s="17"/>
      <c r="D742" s="17"/>
      <c r="E742" s="17"/>
      <c r="F742" s="17"/>
      <c r="G742" s="17"/>
    </row>
    <row r="743" spans="2:7" ht="13.2" x14ac:dyDescent="0.25">
      <c r="B743" s="17"/>
      <c r="C743" s="17"/>
      <c r="D743" s="17"/>
      <c r="E743" s="17"/>
      <c r="F743" s="17"/>
      <c r="G743" s="17"/>
    </row>
    <row r="744" spans="2:7" ht="13.2" x14ac:dyDescent="0.25">
      <c r="B744" s="17"/>
      <c r="C744" s="17"/>
      <c r="D744" s="17"/>
      <c r="E744" s="17"/>
      <c r="F744" s="17"/>
      <c r="G744" s="17"/>
    </row>
    <row r="745" spans="2:7" ht="13.2" x14ac:dyDescent="0.25">
      <c r="B745" s="17"/>
      <c r="C745" s="17"/>
      <c r="D745" s="17"/>
      <c r="E745" s="17"/>
      <c r="F745" s="17"/>
      <c r="G745" s="17"/>
    </row>
    <row r="746" spans="2:7" ht="13.2" x14ac:dyDescent="0.25">
      <c r="B746" s="17"/>
      <c r="C746" s="17"/>
      <c r="D746" s="17"/>
      <c r="E746" s="17"/>
      <c r="F746" s="17"/>
      <c r="G746" s="17"/>
    </row>
    <row r="747" spans="2:7" ht="13.2" x14ac:dyDescent="0.25">
      <c r="B747" s="17"/>
      <c r="C747" s="17"/>
      <c r="D747" s="17"/>
      <c r="E747" s="17"/>
      <c r="F747" s="17"/>
      <c r="G747" s="17"/>
    </row>
    <row r="748" spans="2:7" ht="13.2" x14ac:dyDescent="0.25">
      <c r="B748" s="17"/>
      <c r="C748" s="17"/>
      <c r="D748" s="17"/>
      <c r="E748" s="17"/>
      <c r="F748" s="17"/>
      <c r="G748" s="17"/>
    </row>
    <row r="749" spans="2:7" ht="13.2" x14ac:dyDescent="0.25">
      <c r="B749" s="17"/>
      <c r="C749" s="17"/>
      <c r="D749" s="17"/>
      <c r="E749" s="17"/>
      <c r="F749" s="17"/>
      <c r="G749" s="17"/>
    </row>
    <row r="750" spans="2:7" ht="13.2" x14ac:dyDescent="0.25">
      <c r="B750" s="17"/>
      <c r="C750" s="17"/>
      <c r="D750" s="17"/>
      <c r="E750" s="17"/>
      <c r="F750" s="17"/>
      <c r="G750" s="17"/>
    </row>
    <row r="751" spans="2:7" ht="13.2" x14ac:dyDescent="0.25">
      <c r="B751" s="17"/>
      <c r="C751" s="17"/>
      <c r="D751" s="17"/>
      <c r="E751" s="17"/>
      <c r="F751" s="17"/>
      <c r="G751" s="17"/>
    </row>
    <row r="752" spans="2:7" ht="13.2" x14ac:dyDescent="0.25">
      <c r="B752" s="17"/>
      <c r="C752" s="17"/>
      <c r="D752" s="17"/>
      <c r="E752" s="17"/>
      <c r="F752" s="17"/>
      <c r="G752" s="17"/>
    </row>
    <row r="753" spans="2:7" ht="13.2" x14ac:dyDescent="0.25">
      <c r="B753" s="17"/>
      <c r="C753" s="17"/>
      <c r="D753" s="17"/>
      <c r="E753" s="17"/>
      <c r="F753" s="17"/>
      <c r="G753" s="17"/>
    </row>
    <row r="754" spans="2:7" ht="13.2" x14ac:dyDescent="0.25">
      <c r="B754" s="17"/>
      <c r="C754" s="17"/>
      <c r="D754" s="17"/>
      <c r="E754" s="17"/>
      <c r="F754" s="17"/>
      <c r="G754" s="17"/>
    </row>
    <row r="755" spans="2:7" ht="13.2" x14ac:dyDescent="0.25">
      <c r="B755" s="17"/>
      <c r="C755" s="17"/>
      <c r="D755" s="17"/>
      <c r="E755" s="17"/>
      <c r="F755" s="17"/>
      <c r="G755" s="17"/>
    </row>
    <row r="756" spans="2:7" ht="13.2" x14ac:dyDescent="0.25">
      <c r="B756" s="17"/>
      <c r="C756" s="17"/>
      <c r="D756" s="17"/>
      <c r="E756" s="17"/>
      <c r="F756" s="17"/>
      <c r="G756" s="17"/>
    </row>
    <row r="757" spans="2:7" ht="13.2" x14ac:dyDescent="0.25">
      <c r="B757" s="17"/>
      <c r="C757" s="17"/>
      <c r="D757" s="17"/>
      <c r="E757" s="17"/>
      <c r="F757" s="17"/>
      <c r="G757" s="17"/>
    </row>
    <row r="758" spans="2:7" ht="13.2" x14ac:dyDescent="0.25">
      <c r="B758" s="17"/>
      <c r="C758" s="17"/>
      <c r="D758" s="17"/>
      <c r="E758" s="17"/>
      <c r="F758" s="17"/>
      <c r="G758" s="17"/>
    </row>
    <row r="759" spans="2:7" ht="13.2" x14ac:dyDescent="0.25">
      <c r="B759" s="17"/>
      <c r="C759" s="17"/>
      <c r="D759" s="17"/>
      <c r="E759" s="17"/>
      <c r="F759" s="17"/>
      <c r="G759" s="17"/>
    </row>
    <row r="760" spans="2:7" ht="13.2" x14ac:dyDescent="0.25">
      <c r="B760" s="17"/>
      <c r="C760" s="17"/>
      <c r="D760" s="17"/>
      <c r="E760" s="17"/>
      <c r="F760" s="17"/>
      <c r="G760" s="17"/>
    </row>
    <row r="761" spans="2:7" ht="13.2" x14ac:dyDescent="0.25">
      <c r="B761" s="17"/>
      <c r="C761" s="17"/>
      <c r="D761" s="17"/>
      <c r="E761" s="17"/>
      <c r="F761" s="17"/>
      <c r="G761" s="17"/>
    </row>
    <row r="762" spans="2:7" ht="13.2" x14ac:dyDescent="0.25">
      <c r="B762" s="17"/>
      <c r="C762" s="17"/>
      <c r="D762" s="17"/>
      <c r="E762" s="17"/>
      <c r="F762" s="17"/>
      <c r="G762" s="17"/>
    </row>
    <row r="763" spans="2:7" ht="13.2" x14ac:dyDescent="0.25">
      <c r="B763" s="17"/>
      <c r="C763" s="17"/>
      <c r="D763" s="17"/>
      <c r="E763" s="17"/>
      <c r="F763" s="17"/>
      <c r="G763" s="17"/>
    </row>
    <row r="764" spans="2:7" ht="13.2" x14ac:dyDescent="0.25">
      <c r="B764" s="17"/>
      <c r="C764" s="17"/>
      <c r="D764" s="17"/>
      <c r="E764" s="17"/>
      <c r="F764" s="17"/>
      <c r="G764" s="17"/>
    </row>
    <row r="765" spans="2:7" ht="13.2" x14ac:dyDescent="0.25">
      <c r="B765" s="17"/>
      <c r="C765" s="17"/>
      <c r="D765" s="17"/>
      <c r="E765" s="17"/>
      <c r="F765" s="17"/>
      <c r="G765" s="17"/>
    </row>
    <row r="766" spans="2:7" ht="13.2" x14ac:dyDescent="0.25">
      <c r="B766" s="17"/>
      <c r="C766" s="17"/>
      <c r="D766" s="17"/>
      <c r="E766" s="17"/>
      <c r="F766" s="17"/>
      <c r="G766" s="17"/>
    </row>
    <row r="767" spans="2:7" ht="13.2" x14ac:dyDescent="0.25">
      <c r="B767" s="17"/>
      <c r="C767" s="17"/>
      <c r="D767" s="17"/>
      <c r="E767" s="17"/>
      <c r="F767" s="17"/>
      <c r="G767" s="17"/>
    </row>
    <row r="768" spans="2:7" ht="13.2" x14ac:dyDescent="0.25">
      <c r="B768" s="17"/>
      <c r="C768" s="17"/>
      <c r="D768" s="17"/>
      <c r="E768" s="17"/>
      <c r="F768" s="17"/>
      <c r="G768" s="17"/>
    </row>
    <row r="769" spans="2:7" ht="13.2" x14ac:dyDescent="0.25">
      <c r="B769" s="17"/>
      <c r="C769" s="17"/>
      <c r="D769" s="17"/>
      <c r="E769" s="17"/>
      <c r="F769" s="17"/>
      <c r="G769" s="17"/>
    </row>
    <row r="770" spans="2:7" ht="13.2" x14ac:dyDescent="0.25">
      <c r="B770" s="17"/>
      <c r="C770" s="17"/>
      <c r="D770" s="17"/>
      <c r="E770" s="17"/>
      <c r="F770" s="17"/>
      <c r="G770" s="17"/>
    </row>
    <row r="771" spans="2:7" ht="13.2" x14ac:dyDescent="0.25">
      <c r="B771" s="17"/>
      <c r="C771" s="17"/>
      <c r="D771" s="17"/>
      <c r="E771" s="17"/>
      <c r="F771" s="17"/>
      <c r="G771" s="17"/>
    </row>
    <row r="772" spans="2:7" ht="13.2" x14ac:dyDescent="0.25">
      <c r="B772" s="17"/>
      <c r="C772" s="17"/>
      <c r="D772" s="17"/>
      <c r="E772" s="17"/>
      <c r="F772" s="17"/>
      <c r="G772" s="17"/>
    </row>
    <row r="773" spans="2:7" ht="13.2" x14ac:dyDescent="0.25">
      <c r="B773" s="17"/>
      <c r="C773" s="17"/>
      <c r="D773" s="17"/>
      <c r="E773" s="17"/>
      <c r="F773" s="17"/>
      <c r="G773" s="17"/>
    </row>
    <row r="774" spans="2:7" ht="13.2" x14ac:dyDescent="0.25">
      <c r="B774" s="17"/>
      <c r="C774" s="17"/>
      <c r="D774" s="17"/>
      <c r="E774" s="17"/>
      <c r="F774" s="17"/>
      <c r="G774" s="17"/>
    </row>
    <row r="775" spans="2:7" ht="13.2" x14ac:dyDescent="0.25">
      <c r="B775" s="17"/>
      <c r="C775" s="17"/>
      <c r="D775" s="17"/>
      <c r="E775" s="17"/>
      <c r="F775" s="17"/>
      <c r="G775" s="17"/>
    </row>
    <row r="776" spans="2:7" ht="13.2" x14ac:dyDescent="0.25">
      <c r="B776" s="17"/>
      <c r="C776" s="17"/>
      <c r="D776" s="17"/>
      <c r="E776" s="17"/>
      <c r="F776" s="17"/>
      <c r="G776" s="17"/>
    </row>
    <row r="777" spans="2:7" ht="13.2" x14ac:dyDescent="0.25">
      <c r="B777" s="17"/>
      <c r="C777" s="17"/>
      <c r="D777" s="17"/>
      <c r="E777" s="17"/>
      <c r="F777" s="17"/>
      <c r="G777" s="17"/>
    </row>
    <row r="778" spans="2:7" ht="13.2" x14ac:dyDescent="0.25">
      <c r="B778" s="17"/>
      <c r="C778" s="17"/>
      <c r="D778" s="17"/>
      <c r="E778" s="17"/>
      <c r="F778" s="17"/>
      <c r="G778" s="17"/>
    </row>
    <row r="779" spans="2:7" ht="13.2" x14ac:dyDescent="0.25">
      <c r="B779" s="17"/>
      <c r="C779" s="17"/>
      <c r="D779" s="17"/>
      <c r="E779" s="17"/>
      <c r="F779" s="17"/>
      <c r="G779" s="17"/>
    </row>
    <row r="780" spans="2:7" ht="13.2" x14ac:dyDescent="0.25">
      <c r="B780" s="17"/>
      <c r="C780" s="17"/>
      <c r="D780" s="17"/>
      <c r="E780" s="17"/>
      <c r="F780" s="17"/>
      <c r="G780" s="17"/>
    </row>
    <row r="781" spans="2:7" ht="13.2" x14ac:dyDescent="0.25">
      <c r="B781" s="17"/>
      <c r="C781" s="17"/>
      <c r="D781" s="17"/>
      <c r="E781" s="17"/>
      <c r="F781" s="17"/>
      <c r="G781" s="17"/>
    </row>
    <row r="782" spans="2:7" ht="13.2" x14ac:dyDescent="0.25">
      <c r="B782" s="17"/>
      <c r="C782" s="17"/>
      <c r="D782" s="17"/>
      <c r="E782" s="17"/>
      <c r="F782" s="17"/>
      <c r="G782" s="17"/>
    </row>
    <row r="783" spans="2:7" ht="13.2" x14ac:dyDescent="0.25">
      <c r="B783" s="17"/>
      <c r="C783" s="17"/>
      <c r="D783" s="17"/>
      <c r="E783" s="17"/>
      <c r="F783" s="17"/>
      <c r="G783" s="17"/>
    </row>
    <row r="784" spans="2:7" ht="13.2" x14ac:dyDescent="0.25">
      <c r="B784" s="17"/>
      <c r="C784" s="17"/>
      <c r="D784" s="17"/>
      <c r="E784" s="17"/>
      <c r="F784" s="17"/>
      <c r="G784" s="17"/>
    </row>
    <row r="785" spans="2:7" ht="13.2" x14ac:dyDescent="0.25">
      <c r="B785" s="17"/>
      <c r="C785" s="17"/>
      <c r="D785" s="17"/>
      <c r="E785" s="17"/>
      <c r="F785" s="17"/>
      <c r="G785" s="17"/>
    </row>
    <row r="786" spans="2:7" ht="13.2" x14ac:dyDescent="0.25">
      <c r="B786" s="17"/>
      <c r="C786" s="17"/>
      <c r="D786" s="17"/>
      <c r="E786" s="17"/>
      <c r="F786" s="17"/>
      <c r="G786" s="17"/>
    </row>
    <row r="787" spans="2:7" ht="13.2" x14ac:dyDescent="0.25">
      <c r="B787" s="17"/>
      <c r="C787" s="17"/>
      <c r="D787" s="17"/>
      <c r="E787" s="17"/>
      <c r="F787" s="17"/>
      <c r="G787" s="17"/>
    </row>
    <row r="788" spans="2:7" ht="13.2" x14ac:dyDescent="0.25">
      <c r="B788" s="17"/>
      <c r="C788" s="17"/>
      <c r="D788" s="17"/>
      <c r="E788" s="17"/>
      <c r="F788" s="17"/>
      <c r="G788" s="17"/>
    </row>
    <row r="789" spans="2:7" ht="13.2" x14ac:dyDescent="0.25">
      <c r="B789" s="17"/>
      <c r="C789" s="17"/>
      <c r="D789" s="17"/>
      <c r="E789" s="17"/>
      <c r="F789" s="17"/>
      <c r="G789" s="17"/>
    </row>
    <row r="790" spans="2:7" ht="13.2" x14ac:dyDescent="0.25">
      <c r="B790" s="17"/>
      <c r="C790" s="17"/>
      <c r="D790" s="17"/>
      <c r="E790" s="17"/>
      <c r="F790" s="17"/>
      <c r="G790" s="17"/>
    </row>
    <row r="791" spans="2:7" ht="13.2" x14ac:dyDescent="0.25">
      <c r="B791" s="17"/>
      <c r="C791" s="17"/>
      <c r="D791" s="17"/>
      <c r="E791" s="17"/>
      <c r="F791" s="17"/>
      <c r="G791" s="17"/>
    </row>
    <row r="792" spans="2:7" ht="13.2" x14ac:dyDescent="0.25">
      <c r="B792" s="17"/>
      <c r="C792" s="17"/>
      <c r="D792" s="17"/>
      <c r="E792" s="17"/>
      <c r="F792" s="17"/>
      <c r="G792" s="17"/>
    </row>
    <row r="793" spans="2:7" ht="13.2" x14ac:dyDescent="0.25">
      <c r="B793" s="17"/>
      <c r="C793" s="17"/>
      <c r="D793" s="17"/>
      <c r="E793" s="17"/>
      <c r="F793" s="17"/>
      <c r="G793" s="17"/>
    </row>
    <row r="794" spans="2:7" ht="13.2" x14ac:dyDescent="0.25">
      <c r="B794" s="17"/>
      <c r="C794" s="17"/>
      <c r="D794" s="17"/>
      <c r="E794" s="17"/>
      <c r="F794" s="17"/>
      <c r="G794" s="17"/>
    </row>
    <row r="795" spans="2:7" ht="13.2" x14ac:dyDescent="0.25">
      <c r="B795" s="17"/>
      <c r="C795" s="17"/>
      <c r="D795" s="17"/>
      <c r="E795" s="17"/>
      <c r="F795" s="17"/>
      <c r="G795" s="17"/>
    </row>
    <row r="796" spans="2:7" ht="13.2" x14ac:dyDescent="0.25">
      <c r="B796" s="17"/>
      <c r="C796" s="17"/>
      <c r="D796" s="17"/>
      <c r="E796" s="17"/>
      <c r="F796" s="17"/>
      <c r="G796" s="17"/>
    </row>
    <row r="797" spans="2:7" ht="13.2" x14ac:dyDescent="0.25">
      <c r="B797" s="17"/>
      <c r="C797" s="17"/>
      <c r="D797" s="17"/>
      <c r="E797" s="17"/>
      <c r="F797" s="17"/>
      <c r="G797" s="17"/>
    </row>
    <row r="798" spans="2:7" ht="13.2" x14ac:dyDescent="0.25">
      <c r="B798" s="17"/>
      <c r="C798" s="17"/>
      <c r="D798" s="17"/>
      <c r="E798" s="17"/>
      <c r="F798" s="17"/>
      <c r="G798" s="17"/>
    </row>
    <row r="799" spans="2:7" ht="13.2" x14ac:dyDescent="0.25">
      <c r="B799" s="17"/>
      <c r="C799" s="17"/>
      <c r="D799" s="17"/>
      <c r="E799" s="17"/>
      <c r="F799" s="17"/>
      <c r="G799" s="17"/>
    </row>
    <row r="800" spans="2:7" ht="13.2" x14ac:dyDescent="0.25">
      <c r="B800" s="17"/>
      <c r="C800" s="17"/>
      <c r="D800" s="17"/>
      <c r="E800" s="17"/>
      <c r="F800" s="17"/>
      <c r="G800" s="17"/>
    </row>
    <row r="801" spans="2:7" ht="13.2" x14ac:dyDescent="0.25">
      <c r="B801" s="17"/>
      <c r="C801" s="17"/>
      <c r="D801" s="17"/>
      <c r="E801" s="17"/>
      <c r="F801" s="17"/>
      <c r="G801" s="17"/>
    </row>
    <row r="802" spans="2:7" ht="13.2" x14ac:dyDescent="0.25">
      <c r="B802" s="17"/>
      <c r="C802" s="17"/>
      <c r="D802" s="17"/>
      <c r="E802" s="17"/>
      <c r="F802" s="17"/>
      <c r="G802" s="17"/>
    </row>
    <row r="803" spans="2:7" ht="13.2" x14ac:dyDescent="0.25">
      <c r="B803" s="17"/>
      <c r="C803" s="17"/>
      <c r="D803" s="17"/>
      <c r="E803" s="17"/>
      <c r="F803" s="17"/>
      <c r="G803" s="17"/>
    </row>
    <row r="804" spans="2:7" ht="13.2" x14ac:dyDescent="0.25">
      <c r="B804" s="17"/>
      <c r="C804" s="17"/>
      <c r="D804" s="17"/>
      <c r="E804" s="17"/>
      <c r="F804" s="17"/>
      <c r="G804" s="17"/>
    </row>
    <row r="805" spans="2:7" ht="13.2" x14ac:dyDescent="0.25">
      <c r="B805" s="17"/>
      <c r="C805" s="17"/>
      <c r="D805" s="17"/>
      <c r="E805" s="17"/>
      <c r="F805" s="17"/>
      <c r="G805" s="17"/>
    </row>
    <row r="806" spans="2:7" ht="13.2" x14ac:dyDescent="0.25">
      <c r="B806" s="17"/>
      <c r="C806" s="17"/>
      <c r="D806" s="17"/>
      <c r="E806" s="17"/>
      <c r="F806" s="17"/>
      <c r="G806" s="17"/>
    </row>
    <row r="807" spans="2:7" ht="13.2" x14ac:dyDescent="0.25">
      <c r="B807" s="17"/>
      <c r="C807" s="17"/>
      <c r="D807" s="17"/>
      <c r="E807" s="17"/>
      <c r="F807" s="17"/>
      <c r="G807" s="17"/>
    </row>
    <row r="808" spans="2:7" ht="13.2" x14ac:dyDescent="0.25">
      <c r="B808" s="17"/>
      <c r="C808" s="17"/>
      <c r="D808" s="17"/>
      <c r="E808" s="17"/>
      <c r="F808" s="17"/>
      <c r="G808" s="17"/>
    </row>
    <row r="809" spans="2:7" ht="13.2" x14ac:dyDescent="0.25">
      <c r="B809" s="17"/>
      <c r="C809" s="17"/>
      <c r="D809" s="17"/>
      <c r="E809" s="17"/>
      <c r="F809" s="17"/>
      <c r="G809" s="17"/>
    </row>
    <row r="810" spans="2:7" ht="13.2" x14ac:dyDescent="0.25">
      <c r="B810" s="17"/>
      <c r="C810" s="17"/>
      <c r="D810" s="17"/>
      <c r="E810" s="17"/>
      <c r="F810" s="17"/>
      <c r="G810" s="17"/>
    </row>
    <row r="811" spans="2:7" ht="13.2" x14ac:dyDescent="0.25">
      <c r="B811" s="17"/>
      <c r="C811" s="17"/>
      <c r="D811" s="17"/>
      <c r="E811" s="17"/>
      <c r="F811" s="17"/>
      <c r="G811" s="17"/>
    </row>
    <row r="812" spans="2:7" ht="13.2" x14ac:dyDescent="0.25">
      <c r="B812" s="17"/>
      <c r="C812" s="17"/>
      <c r="D812" s="17"/>
      <c r="E812" s="17"/>
      <c r="F812" s="17"/>
      <c r="G812" s="17"/>
    </row>
    <row r="813" spans="2:7" ht="13.2" x14ac:dyDescent="0.25">
      <c r="B813" s="17"/>
      <c r="C813" s="17"/>
      <c r="D813" s="17"/>
      <c r="E813" s="17"/>
      <c r="F813" s="17"/>
      <c r="G813" s="17"/>
    </row>
    <row r="814" spans="2:7" ht="13.2" x14ac:dyDescent="0.25">
      <c r="B814" s="17"/>
      <c r="C814" s="17"/>
      <c r="D814" s="17"/>
      <c r="E814" s="17"/>
      <c r="F814" s="17"/>
      <c r="G814" s="17"/>
    </row>
    <row r="815" spans="2:7" ht="13.2" x14ac:dyDescent="0.25">
      <c r="B815" s="17"/>
      <c r="C815" s="17"/>
      <c r="D815" s="17"/>
      <c r="E815" s="17"/>
      <c r="F815" s="17"/>
      <c r="G815" s="17"/>
    </row>
    <row r="816" spans="2:7" ht="13.2" x14ac:dyDescent="0.25">
      <c r="B816" s="17"/>
      <c r="C816" s="17"/>
      <c r="D816" s="17"/>
      <c r="E816" s="17"/>
      <c r="F816" s="17"/>
      <c r="G816" s="17"/>
    </row>
    <row r="817" spans="2:7" ht="13.2" x14ac:dyDescent="0.25">
      <c r="B817" s="17"/>
      <c r="C817" s="17"/>
      <c r="D817" s="17"/>
      <c r="E817" s="17"/>
      <c r="F817" s="17"/>
      <c r="G817" s="17"/>
    </row>
    <row r="818" spans="2:7" ht="13.2" x14ac:dyDescent="0.25">
      <c r="B818" s="17"/>
      <c r="C818" s="17"/>
      <c r="D818" s="17"/>
      <c r="E818" s="17"/>
      <c r="F818" s="17"/>
      <c r="G818" s="17"/>
    </row>
    <row r="819" spans="2:7" ht="13.2" x14ac:dyDescent="0.25">
      <c r="B819" s="17"/>
      <c r="C819" s="17"/>
      <c r="D819" s="17"/>
      <c r="E819" s="17"/>
      <c r="F819" s="17"/>
      <c r="G819" s="17"/>
    </row>
    <row r="820" spans="2:7" ht="13.2" x14ac:dyDescent="0.25">
      <c r="B820" s="17"/>
      <c r="C820" s="17"/>
      <c r="D820" s="17"/>
      <c r="E820" s="17"/>
      <c r="F820" s="17"/>
      <c r="G820" s="17"/>
    </row>
    <row r="821" spans="2:7" ht="13.2" x14ac:dyDescent="0.25">
      <c r="B821" s="17"/>
      <c r="C821" s="17"/>
      <c r="D821" s="17"/>
      <c r="E821" s="17"/>
      <c r="F821" s="17"/>
      <c r="G821" s="17"/>
    </row>
    <row r="822" spans="2:7" ht="13.2" x14ac:dyDescent="0.25">
      <c r="B822" s="17"/>
      <c r="C822" s="17"/>
      <c r="D822" s="17"/>
      <c r="E822" s="17"/>
      <c r="F822" s="17"/>
      <c r="G822" s="17"/>
    </row>
    <row r="823" spans="2:7" ht="13.2" x14ac:dyDescent="0.25">
      <c r="B823" s="17"/>
      <c r="C823" s="17"/>
      <c r="D823" s="17"/>
      <c r="E823" s="17"/>
      <c r="F823" s="17"/>
      <c r="G823" s="17"/>
    </row>
    <row r="824" spans="2:7" ht="13.2" x14ac:dyDescent="0.25">
      <c r="B824" s="17"/>
      <c r="C824" s="17"/>
      <c r="D824" s="17"/>
      <c r="E824" s="17"/>
      <c r="F824" s="17"/>
      <c r="G824" s="17"/>
    </row>
    <row r="825" spans="2:7" ht="13.2" x14ac:dyDescent="0.25">
      <c r="B825" s="17"/>
      <c r="C825" s="17"/>
      <c r="D825" s="17"/>
      <c r="E825" s="17"/>
      <c r="F825" s="17"/>
      <c r="G825" s="17"/>
    </row>
    <row r="826" spans="2:7" ht="13.2" x14ac:dyDescent="0.25">
      <c r="B826" s="17"/>
      <c r="C826" s="17"/>
      <c r="D826" s="17"/>
      <c r="E826" s="17"/>
      <c r="F826" s="17"/>
      <c r="G826" s="17"/>
    </row>
    <row r="827" spans="2:7" ht="13.2" x14ac:dyDescent="0.25">
      <c r="B827" s="17"/>
      <c r="C827" s="17"/>
      <c r="D827" s="17"/>
      <c r="E827" s="17"/>
      <c r="F827" s="17"/>
      <c r="G827" s="17"/>
    </row>
    <row r="828" spans="2:7" ht="13.2" x14ac:dyDescent="0.25">
      <c r="B828" s="17"/>
      <c r="C828" s="17"/>
      <c r="D828" s="17"/>
      <c r="E828" s="17"/>
      <c r="F828" s="17"/>
      <c r="G828" s="17"/>
    </row>
    <row r="829" spans="2:7" ht="13.2" x14ac:dyDescent="0.25">
      <c r="B829" s="17"/>
      <c r="C829" s="17"/>
      <c r="D829" s="17"/>
      <c r="E829" s="17"/>
      <c r="F829" s="17"/>
      <c r="G829" s="17"/>
    </row>
    <row r="830" spans="2:7" ht="13.2" x14ac:dyDescent="0.25">
      <c r="B830" s="17"/>
      <c r="C830" s="17"/>
      <c r="D830" s="17"/>
      <c r="E830" s="17"/>
      <c r="F830" s="17"/>
      <c r="G830" s="17"/>
    </row>
    <row r="831" spans="2:7" ht="13.2" x14ac:dyDescent="0.25">
      <c r="B831" s="17"/>
      <c r="C831" s="17"/>
      <c r="D831" s="17"/>
      <c r="E831" s="17"/>
      <c r="F831" s="17"/>
      <c r="G831" s="17"/>
    </row>
    <row r="832" spans="2:7" ht="13.2" x14ac:dyDescent="0.25">
      <c r="B832" s="17"/>
      <c r="C832" s="17"/>
      <c r="D832" s="17"/>
      <c r="E832" s="17"/>
      <c r="F832" s="17"/>
      <c r="G832" s="17"/>
    </row>
    <row r="833" spans="2:7" ht="13.2" x14ac:dyDescent="0.25">
      <c r="B833" s="17"/>
      <c r="C833" s="17"/>
      <c r="D833" s="17"/>
      <c r="E833" s="17"/>
      <c r="F833" s="17"/>
      <c r="G833" s="17"/>
    </row>
    <row r="834" spans="2:7" ht="13.2" x14ac:dyDescent="0.25">
      <c r="B834" s="17"/>
      <c r="C834" s="17"/>
      <c r="D834" s="17"/>
      <c r="E834" s="17"/>
      <c r="F834" s="17"/>
      <c r="G834" s="17"/>
    </row>
    <row r="835" spans="2:7" ht="13.2" x14ac:dyDescent="0.25">
      <c r="B835" s="17"/>
      <c r="C835" s="17"/>
      <c r="D835" s="17"/>
      <c r="E835" s="17"/>
      <c r="F835" s="17"/>
      <c r="G835" s="17"/>
    </row>
    <row r="836" spans="2:7" ht="13.2" x14ac:dyDescent="0.25">
      <c r="B836" s="17"/>
      <c r="C836" s="17"/>
      <c r="D836" s="17"/>
      <c r="E836" s="17"/>
      <c r="F836" s="17"/>
      <c r="G836" s="17"/>
    </row>
    <row r="837" spans="2:7" ht="13.2" x14ac:dyDescent="0.25">
      <c r="B837" s="17"/>
      <c r="C837" s="17"/>
      <c r="D837" s="17"/>
      <c r="E837" s="17"/>
      <c r="F837" s="17"/>
      <c r="G837" s="17"/>
    </row>
    <row r="838" spans="2:7" ht="13.2" x14ac:dyDescent="0.25">
      <c r="B838" s="17"/>
      <c r="C838" s="17"/>
      <c r="D838" s="17"/>
      <c r="E838" s="17"/>
      <c r="F838" s="17"/>
      <c r="G838" s="17"/>
    </row>
    <row r="839" spans="2:7" ht="13.2" x14ac:dyDescent="0.25">
      <c r="B839" s="17"/>
      <c r="C839" s="17"/>
      <c r="D839" s="17"/>
      <c r="E839" s="17"/>
      <c r="F839" s="17"/>
      <c r="G839" s="17"/>
    </row>
    <row r="840" spans="2:7" ht="13.2" x14ac:dyDescent="0.25">
      <c r="B840" s="17"/>
      <c r="C840" s="17"/>
      <c r="D840" s="17"/>
      <c r="E840" s="17"/>
      <c r="F840" s="17"/>
      <c r="G840" s="17"/>
    </row>
    <row r="841" spans="2:7" ht="13.2" x14ac:dyDescent="0.25">
      <c r="B841" s="17"/>
      <c r="C841" s="17"/>
      <c r="D841" s="17"/>
      <c r="E841" s="17"/>
      <c r="F841" s="17"/>
      <c r="G841" s="17"/>
    </row>
    <row r="842" spans="2:7" ht="13.2" x14ac:dyDescent="0.25">
      <c r="B842" s="17"/>
      <c r="C842" s="17"/>
      <c r="D842" s="17"/>
      <c r="E842" s="17"/>
      <c r="F842" s="17"/>
      <c r="G842" s="17"/>
    </row>
    <row r="843" spans="2:7" ht="13.2" x14ac:dyDescent="0.25">
      <c r="B843" s="17"/>
      <c r="C843" s="17"/>
      <c r="D843" s="17"/>
      <c r="E843" s="17"/>
      <c r="F843" s="17"/>
      <c r="G843" s="17"/>
    </row>
    <row r="844" spans="2:7" ht="13.2" x14ac:dyDescent="0.25">
      <c r="B844" s="17"/>
      <c r="C844" s="17"/>
      <c r="D844" s="17"/>
      <c r="E844" s="17"/>
      <c r="F844" s="17"/>
      <c r="G844" s="17"/>
    </row>
    <row r="845" spans="2:7" ht="13.2" x14ac:dyDescent="0.25">
      <c r="B845" s="17"/>
      <c r="C845" s="17"/>
      <c r="D845" s="17"/>
      <c r="E845" s="17"/>
      <c r="F845" s="17"/>
      <c r="G845" s="17"/>
    </row>
    <row r="846" spans="2:7" ht="13.2" x14ac:dyDescent="0.25">
      <c r="B846" s="17"/>
      <c r="C846" s="17"/>
      <c r="D846" s="17"/>
      <c r="E846" s="17"/>
      <c r="F846" s="17"/>
      <c r="G846" s="17"/>
    </row>
    <row r="847" spans="2:7" ht="13.2" x14ac:dyDescent="0.25">
      <c r="B847" s="17"/>
      <c r="C847" s="17"/>
      <c r="D847" s="17"/>
      <c r="E847" s="17"/>
      <c r="F847" s="17"/>
      <c r="G847" s="17"/>
    </row>
    <row r="848" spans="2:7" ht="13.2" x14ac:dyDescent="0.25">
      <c r="B848" s="17"/>
      <c r="C848" s="17"/>
      <c r="D848" s="17"/>
      <c r="E848" s="17"/>
      <c r="F848" s="17"/>
      <c r="G848" s="17"/>
    </row>
    <row r="849" spans="2:7" ht="13.2" x14ac:dyDescent="0.25">
      <c r="B849" s="17"/>
      <c r="C849" s="17"/>
      <c r="D849" s="17"/>
      <c r="E849" s="17"/>
      <c r="F849" s="17"/>
      <c r="G849" s="17"/>
    </row>
    <row r="850" spans="2:7" ht="13.2" x14ac:dyDescent="0.25">
      <c r="B850" s="17"/>
      <c r="C850" s="17"/>
      <c r="D850" s="17"/>
      <c r="E850" s="17"/>
      <c r="F850" s="17"/>
      <c r="G850" s="17"/>
    </row>
    <row r="851" spans="2:7" ht="13.2" x14ac:dyDescent="0.25">
      <c r="B851" s="17"/>
      <c r="C851" s="17"/>
      <c r="D851" s="17"/>
      <c r="E851" s="17"/>
      <c r="F851" s="17"/>
      <c r="G851" s="17"/>
    </row>
    <row r="852" spans="2:7" ht="13.2" x14ac:dyDescent="0.25">
      <c r="B852" s="17"/>
      <c r="C852" s="17"/>
      <c r="D852" s="17"/>
      <c r="E852" s="17"/>
      <c r="F852" s="17"/>
      <c r="G852" s="17"/>
    </row>
    <row r="853" spans="2:7" ht="13.2" x14ac:dyDescent="0.25">
      <c r="B853" s="17"/>
      <c r="C853" s="17"/>
      <c r="D853" s="17"/>
      <c r="E853" s="17"/>
      <c r="F853" s="17"/>
      <c r="G853" s="17"/>
    </row>
    <row r="854" spans="2:7" ht="13.2" x14ac:dyDescent="0.25">
      <c r="B854" s="17"/>
      <c r="C854" s="17"/>
      <c r="D854" s="17"/>
      <c r="E854" s="17"/>
      <c r="F854" s="17"/>
      <c r="G854" s="17"/>
    </row>
    <row r="855" spans="2:7" ht="13.2" x14ac:dyDescent="0.25">
      <c r="B855" s="17"/>
      <c r="C855" s="17"/>
      <c r="D855" s="17"/>
      <c r="E855" s="17"/>
      <c r="F855" s="17"/>
      <c r="G855" s="17"/>
    </row>
    <row r="856" spans="2:7" ht="13.2" x14ac:dyDescent="0.25">
      <c r="B856" s="17"/>
      <c r="C856" s="17"/>
      <c r="D856" s="17"/>
      <c r="E856" s="17"/>
      <c r="F856" s="17"/>
      <c r="G856" s="17"/>
    </row>
    <row r="857" spans="2:7" ht="13.2" x14ac:dyDescent="0.25">
      <c r="B857" s="17"/>
      <c r="C857" s="17"/>
      <c r="D857" s="17"/>
      <c r="E857" s="17"/>
      <c r="F857" s="17"/>
      <c r="G857" s="17"/>
    </row>
    <row r="858" spans="2:7" ht="13.2" x14ac:dyDescent="0.25">
      <c r="B858" s="17"/>
      <c r="C858" s="17"/>
      <c r="D858" s="17"/>
      <c r="E858" s="17"/>
      <c r="F858" s="17"/>
      <c r="G858" s="17"/>
    </row>
    <row r="859" spans="2:7" ht="13.2" x14ac:dyDescent="0.25">
      <c r="B859" s="17"/>
      <c r="C859" s="17"/>
      <c r="D859" s="17"/>
      <c r="E859" s="17"/>
      <c r="F859" s="17"/>
      <c r="G859" s="17"/>
    </row>
    <row r="860" spans="2:7" ht="13.2" x14ac:dyDescent="0.25">
      <c r="B860" s="17"/>
      <c r="C860" s="17"/>
      <c r="D860" s="17"/>
      <c r="E860" s="17"/>
      <c r="F860" s="17"/>
      <c r="G860" s="17"/>
    </row>
    <row r="861" spans="2:7" ht="13.2" x14ac:dyDescent="0.25">
      <c r="B861" s="17"/>
      <c r="C861" s="17"/>
      <c r="D861" s="17"/>
      <c r="E861" s="17"/>
      <c r="F861" s="17"/>
      <c r="G861" s="17"/>
    </row>
    <row r="862" spans="2:7" ht="13.2" x14ac:dyDescent="0.25">
      <c r="B862" s="17"/>
      <c r="C862" s="17"/>
      <c r="D862" s="17"/>
      <c r="E862" s="17"/>
      <c r="F862" s="17"/>
      <c r="G862" s="17"/>
    </row>
    <row r="863" spans="2:7" ht="13.2" x14ac:dyDescent="0.25">
      <c r="B863" s="17"/>
      <c r="C863" s="17"/>
      <c r="D863" s="17"/>
      <c r="E863" s="17"/>
      <c r="F863" s="17"/>
      <c r="G863" s="17"/>
    </row>
    <row r="864" spans="2:7" ht="13.2" x14ac:dyDescent="0.25">
      <c r="B864" s="17"/>
      <c r="C864" s="17"/>
      <c r="D864" s="17"/>
      <c r="E864" s="17"/>
      <c r="F864" s="17"/>
      <c r="G864" s="17"/>
    </row>
    <row r="865" spans="2:7" ht="13.2" x14ac:dyDescent="0.25">
      <c r="B865" s="17"/>
      <c r="C865" s="17"/>
      <c r="D865" s="17"/>
      <c r="E865" s="17"/>
      <c r="F865" s="17"/>
      <c r="G865" s="17"/>
    </row>
    <row r="866" spans="2:7" ht="13.2" x14ac:dyDescent="0.25">
      <c r="B866" s="17"/>
      <c r="C866" s="17"/>
      <c r="D866" s="17"/>
      <c r="E866" s="17"/>
      <c r="F866" s="17"/>
      <c r="G866" s="17"/>
    </row>
    <row r="867" spans="2:7" ht="13.2" x14ac:dyDescent="0.25">
      <c r="B867" s="17"/>
      <c r="C867" s="17"/>
      <c r="D867" s="17"/>
      <c r="E867" s="17"/>
      <c r="F867" s="17"/>
      <c r="G867" s="17"/>
    </row>
    <row r="868" spans="2:7" ht="13.2" x14ac:dyDescent="0.25">
      <c r="B868" s="17"/>
      <c r="C868" s="17"/>
      <c r="D868" s="17"/>
      <c r="E868" s="17"/>
      <c r="F868" s="17"/>
      <c r="G868" s="17"/>
    </row>
    <row r="869" spans="2:7" ht="13.2" x14ac:dyDescent="0.25">
      <c r="B869" s="17"/>
      <c r="C869" s="17"/>
      <c r="D869" s="17"/>
      <c r="E869" s="17"/>
      <c r="F869" s="17"/>
      <c r="G869" s="17"/>
    </row>
    <row r="870" spans="2:7" ht="13.2" x14ac:dyDescent="0.25">
      <c r="B870" s="17"/>
      <c r="C870" s="17"/>
      <c r="D870" s="17"/>
      <c r="E870" s="17"/>
      <c r="F870" s="17"/>
      <c r="G870" s="17"/>
    </row>
    <row r="871" spans="2:7" ht="13.2" x14ac:dyDescent="0.25">
      <c r="B871" s="17"/>
      <c r="C871" s="17"/>
      <c r="D871" s="17"/>
      <c r="E871" s="17"/>
      <c r="F871" s="17"/>
      <c r="G871" s="17"/>
    </row>
    <row r="872" spans="2:7" ht="13.2" x14ac:dyDescent="0.25">
      <c r="B872" s="17"/>
      <c r="C872" s="17"/>
      <c r="D872" s="17"/>
      <c r="E872" s="17"/>
      <c r="F872" s="17"/>
      <c r="G872" s="17"/>
    </row>
    <row r="873" spans="2:7" ht="13.2" x14ac:dyDescent="0.25">
      <c r="B873" s="17"/>
      <c r="C873" s="17"/>
      <c r="D873" s="17"/>
      <c r="E873" s="17"/>
      <c r="F873" s="17"/>
      <c r="G873" s="17"/>
    </row>
    <row r="874" spans="2:7" ht="13.2" x14ac:dyDescent="0.25">
      <c r="B874" s="17"/>
      <c r="C874" s="17"/>
      <c r="D874" s="17"/>
      <c r="E874" s="17"/>
      <c r="F874" s="17"/>
      <c r="G874" s="17"/>
    </row>
    <row r="875" spans="2:7" ht="13.2" x14ac:dyDescent="0.25">
      <c r="B875" s="17"/>
      <c r="C875" s="17"/>
      <c r="D875" s="17"/>
      <c r="E875" s="17"/>
      <c r="F875" s="17"/>
      <c r="G875" s="17"/>
    </row>
    <row r="876" spans="2:7" ht="13.2" x14ac:dyDescent="0.25">
      <c r="B876" s="17"/>
      <c r="C876" s="17"/>
      <c r="D876" s="17"/>
      <c r="E876" s="17"/>
      <c r="F876" s="17"/>
      <c r="G876" s="17"/>
    </row>
    <row r="877" spans="2:7" ht="13.2" x14ac:dyDescent="0.25">
      <c r="B877" s="17"/>
      <c r="C877" s="17"/>
      <c r="D877" s="17"/>
      <c r="E877" s="17"/>
      <c r="F877" s="17"/>
      <c r="G877" s="17"/>
    </row>
    <row r="878" spans="2:7" ht="13.2" x14ac:dyDescent="0.25">
      <c r="B878" s="17"/>
      <c r="C878" s="17"/>
      <c r="D878" s="17"/>
      <c r="E878" s="17"/>
      <c r="F878" s="17"/>
      <c r="G878" s="17"/>
    </row>
    <row r="879" spans="2:7" ht="13.2" x14ac:dyDescent="0.25">
      <c r="B879" s="17"/>
      <c r="C879" s="17"/>
      <c r="D879" s="17"/>
      <c r="E879" s="17"/>
      <c r="F879" s="17"/>
      <c r="G879" s="17"/>
    </row>
    <row r="880" spans="2:7" ht="13.2" x14ac:dyDescent="0.25">
      <c r="B880" s="17"/>
      <c r="C880" s="17"/>
      <c r="D880" s="17"/>
      <c r="E880" s="17"/>
      <c r="F880" s="17"/>
      <c r="G880" s="17"/>
    </row>
    <row r="881" spans="2:7" ht="13.2" x14ac:dyDescent="0.25">
      <c r="B881" s="17"/>
      <c r="C881" s="17"/>
      <c r="D881" s="17"/>
      <c r="E881" s="17"/>
      <c r="F881" s="17"/>
      <c r="G881" s="17"/>
    </row>
    <row r="882" spans="2:7" ht="13.2" x14ac:dyDescent="0.25">
      <c r="B882" s="17"/>
      <c r="C882" s="17"/>
      <c r="D882" s="17"/>
      <c r="E882" s="17"/>
      <c r="F882" s="17"/>
      <c r="G882" s="17"/>
    </row>
    <row r="883" spans="2:7" ht="13.2" x14ac:dyDescent="0.25">
      <c r="B883" s="17"/>
      <c r="C883" s="17"/>
      <c r="D883" s="17"/>
      <c r="E883" s="17"/>
      <c r="F883" s="17"/>
      <c r="G883" s="17"/>
    </row>
    <row r="884" spans="2:7" ht="13.2" x14ac:dyDescent="0.25">
      <c r="B884" s="17"/>
      <c r="C884" s="17"/>
      <c r="D884" s="17"/>
      <c r="E884" s="17"/>
      <c r="F884" s="17"/>
      <c r="G884" s="17"/>
    </row>
    <row r="885" spans="2:7" ht="13.2" x14ac:dyDescent="0.25">
      <c r="B885" s="17"/>
      <c r="C885" s="17"/>
      <c r="D885" s="17"/>
      <c r="E885" s="17"/>
      <c r="F885" s="17"/>
      <c r="G885" s="17"/>
    </row>
    <row r="886" spans="2:7" ht="13.2" x14ac:dyDescent="0.25">
      <c r="B886" s="17"/>
      <c r="C886" s="17"/>
      <c r="D886" s="17"/>
      <c r="E886" s="17"/>
      <c r="F886" s="17"/>
      <c r="G886" s="17"/>
    </row>
    <row r="887" spans="2:7" ht="13.2" x14ac:dyDescent="0.25">
      <c r="B887" s="17"/>
      <c r="C887" s="17"/>
      <c r="D887" s="17"/>
      <c r="E887" s="17"/>
      <c r="F887" s="17"/>
      <c r="G887" s="17"/>
    </row>
    <row r="888" spans="2:7" ht="13.2" x14ac:dyDescent="0.25">
      <c r="B888" s="17"/>
      <c r="C888" s="17"/>
      <c r="D888" s="17"/>
      <c r="E888" s="17"/>
      <c r="F888" s="17"/>
      <c r="G888" s="17"/>
    </row>
    <row r="889" spans="2:7" ht="13.2" x14ac:dyDescent="0.25">
      <c r="B889" s="17"/>
      <c r="C889" s="17"/>
      <c r="D889" s="17"/>
      <c r="E889" s="17"/>
      <c r="F889" s="17"/>
      <c r="G889" s="17"/>
    </row>
    <row r="890" spans="2:7" ht="13.2" x14ac:dyDescent="0.25">
      <c r="B890" s="17"/>
      <c r="C890" s="17"/>
      <c r="D890" s="17"/>
      <c r="E890" s="17"/>
      <c r="F890" s="17"/>
      <c r="G890" s="17"/>
    </row>
    <row r="891" spans="2:7" ht="13.2" x14ac:dyDescent="0.25">
      <c r="B891" s="17"/>
      <c r="C891" s="17"/>
      <c r="D891" s="17"/>
      <c r="E891" s="17"/>
      <c r="F891" s="17"/>
      <c r="G891" s="17"/>
    </row>
    <row r="892" spans="2:7" ht="13.2" x14ac:dyDescent="0.25">
      <c r="B892" s="17"/>
      <c r="C892" s="17"/>
      <c r="D892" s="17"/>
      <c r="E892" s="17"/>
      <c r="F892" s="17"/>
      <c r="G892" s="17"/>
    </row>
    <row r="893" spans="2:7" ht="13.2" x14ac:dyDescent="0.25">
      <c r="B893" s="17"/>
      <c r="C893" s="17"/>
      <c r="D893" s="17"/>
      <c r="E893" s="17"/>
      <c r="F893" s="17"/>
      <c r="G893" s="17"/>
    </row>
    <row r="894" spans="2:7" ht="13.2" x14ac:dyDescent="0.25">
      <c r="B894" s="17"/>
      <c r="C894" s="17"/>
      <c r="D894" s="17"/>
      <c r="E894" s="17"/>
      <c r="F894" s="17"/>
      <c r="G894" s="17"/>
    </row>
    <row r="895" spans="2:7" ht="13.2" x14ac:dyDescent="0.25">
      <c r="B895" s="17"/>
      <c r="C895" s="17"/>
      <c r="D895" s="17"/>
      <c r="E895" s="17"/>
      <c r="F895" s="17"/>
      <c r="G895" s="17"/>
    </row>
    <row r="896" spans="2:7" ht="13.2" x14ac:dyDescent="0.25">
      <c r="B896" s="17"/>
      <c r="C896" s="17"/>
      <c r="D896" s="17"/>
      <c r="E896" s="17"/>
      <c r="F896" s="17"/>
      <c r="G896" s="17"/>
    </row>
    <row r="897" spans="2:7" ht="13.2" x14ac:dyDescent="0.25">
      <c r="B897" s="17"/>
      <c r="C897" s="17"/>
      <c r="D897" s="17"/>
      <c r="E897" s="17"/>
      <c r="F897" s="17"/>
      <c r="G897" s="17"/>
    </row>
    <row r="898" spans="2:7" ht="13.2" x14ac:dyDescent="0.25">
      <c r="B898" s="17"/>
      <c r="C898" s="17"/>
      <c r="D898" s="17"/>
      <c r="E898" s="17"/>
      <c r="F898" s="17"/>
      <c r="G898" s="17"/>
    </row>
    <row r="899" spans="2:7" ht="13.2" x14ac:dyDescent="0.25">
      <c r="B899" s="17"/>
      <c r="C899" s="17"/>
      <c r="D899" s="17"/>
      <c r="E899" s="17"/>
      <c r="F899" s="17"/>
      <c r="G899" s="17"/>
    </row>
    <row r="900" spans="2:7" ht="13.2" x14ac:dyDescent="0.25">
      <c r="B900" s="17"/>
      <c r="C900" s="17"/>
      <c r="D900" s="17"/>
      <c r="E900" s="17"/>
      <c r="F900" s="17"/>
      <c r="G900" s="17"/>
    </row>
    <row r="901" spans="2:7" ht="13.2" x14ac:dyDescent="0.25">
      <c r="B901" s="17"/>
      <c r="C901" s="17"/>
      <c r="D901" s="17"/>
      <c r="E901" s="17"/>
      <c r="F901" s="17"/>
      <c r="G901" s="17"/>
    </row>
    <row r="902" spans="2:7" ht="13.2" x14ac:dyDescent="0.25">
      <c r="B902" s="17"/>
      <c r="C902" s="17"/>
      <c r="D902" s="17"/>
      <c r="E902" s="17"/>
      <c r="F902" s="17"/>
      <c r="G902" s="17"/>
    </row>
    <row r="903" spans="2:7" ht="13.2" x14ac:dyDescent="0.25">
      <c r="B903" s="17"/>
      <c r="C903" s="17"/>
      <c r="D903" s="17"/>
      <c r="E903" s="17"/>
      <c r="F903" s="17"/>
      <c r="G903" s="17"/>
    </row>
    <row r="904" spans="2:7" ht="13.2" x14ac:dyDescent="0.25">
      <c r="B904" s="17"/>
      <c r="C904" s="17"/>
      <c r="D904" s="17"/>
      <c r="E904" s="17"/>
      <c r="F904" s="17"/>
      <c r="G904" s="17"/>
    </row>
    <row r="905" spans="2:7" ht="13.2" x14ac:dyDescent="0.25">
      <c r="B905" s="17"/>
      <c r="C905" s="17"/>
      <c r="D905" s="17"/>
      <c r="E905" s="17"/>
      <c r="F905" s="17"/>
      <c r="G905" s="17"/>
    </row>
    <row r="906" spans="2:7" ht="13.2" x14ac:dyDescent="0.25">
      <c r="B906" s="17"/>
      <c r="C906" s="17"/>
      <c r="D906" s="17"/>
      <c r="E906" s="17"/>
      <c r="F906" s="17"/>
      <c r="G906" s="17"/>
    </row>
    <row r="907" spans="2:7" ht="13.2" x14ac:dyDescent="0.25">
      <c r="B907" s="17"/>
      <c r="C907" s="17"/>
      <c r="D907" s="17"/>
      <c r="E907" s="17"/>
      <c r="F907" s="17"/>
      <c r="G907" s="17"/>
    </row>
    <row r="908" spans="2:7" ht="13.2" x14ac:dyDescent="0.25">
      <c r="B908" s="17"/>
      <c r="C908" s="17"/>
      <c r="D908" s="17"/>
      <c r="E908" s="17"/>
      <c r="F908" s="17"/>
      <c r="G908" s="17"/>
    </row>
    <row r="909" spans="2:7" ht="13.2" x14ac:dyDescent="0.25">
      <c r="B909" s="17"/>
      <c r="C909" s="17"/>
      <c r="D909" s="17"/>
      <c r="E909" s="17"/>
      <c r="F909" s="17"/>
      <c r="G909" s="17"/>
    </row>
    <row r="910" spans="2:7" ht="13.2" x14ac:dyDescent="0.25">
      <c r="B910" s="17"/>
      <c r="C910" s="17"/>
      <c r="D910" s="17"/>
      <c r="E910" s="17"/>
      <c r="F910" s="17"/>
      <c r="G910" s="17"/>
    </row>
    <row r="911" spans="2:7" ht="13.2" x14ac:dyDescent="0.25">
      <c r="B911" s="17"/>
      <c r="C911" s="17"/>
      <c r="D911" s="17"/>
      <c r="E911" s="17"/>
      <c r="F911" s="17"/>
      <c r="G911" s="17"/>
    </row>
    <row r="912" spans="2:7" ht="13.2" x14ac:dyDescent="0.25">
      <c r="B912" s="17"/>
      <c r="C912" s="17"/>
      <c r="D912" s="17"/>
      <c r="E912" s="17"/>
      <c r="F912" s="17"/>
      <c r="G912" s="17"/>
    </row>
    <row r="913" spans="2:7" ht="13.2" x14ac:dyDescent="0.25">
      <c r="B913" s="17"/>
      <c r="C913" s="17"/>
      <c r="D913" s="17"/>
      <c r="E913" s="17"/>
      <c r="F913" s="17"/>
      <c r="G913" s="17"/>
    </row>
    <row r="914" spans="2:7" ht="13.2" x14ac:dyDescent="0.25">
      <c r="B914" s="17"/>
      <c r="C914" s="17"/>
      <c r="D914" s="17"/>
      <c r="E914" s="17"/>
      <c r="F914" s="17"/>
      <c r="G914" s="17"/>
    </row>
    <row r="915" spans="2:7" ht="13.2" x14ac:dyDescent="0.25">
      <c r="B915" s="17"/>
      <c r="C915" s="17"/>
      <c r="D915" s="17"/>
      <c r="E915" s="17"/>
      <c r="F915" s="17"/>
      <c r="G915" s="17"/>
    </row>
    <row r="916" spans="2:7" ht="13.2" x14ac:dyDescent="0.25">
      <c r="B916" s="17"/>
      <c r="C916" s="17"/>
      <c r="D916" s="17"/>
      <c r="E916" s="17"/>
      <c r="F916" s="17"/>
      <c r="G916" s="17"/>
    </row>
    <row r="917" spans="2:7" ht="13.2" x14ac:dyDescent="0.25">
      <c r="B917" s="17"/>
      <c r="C917" s="17"/>
      <c r="D917" s="17"/>
      <c r="E917" s="17"/>
      <c r="F917" s="17"/>
      <c r="G917" s="17"/>
    </row>
    <row r="918" spans="2:7" ht="13.2" x14ac:dyDescent="0.25">
      <c r="B918" s="17"/>
      <c r="C918" s="17"/>
      <c r="D918" s="17"/>
      <c r="E918" s="17"/>
      <c r="F918" s="17"/>
      <c r="G918" s="17"/>
    </row>
    <row r="919" spans="2:7" ht="13.2" x14ac:dyDescent="0.25">
      <c r="B919" s="17"/>
      <c r="C919" s="17"/>
      <c r="D919" s="17"/>
      <c r="E919" s="17"/>
      <c r="F919" s="17"/>
      <c r="G919" s="17"/>
    </row>
    <row r="920" spans="2:7" ht="13.2" x14ac:dyDescent="0.25">
      <c r="B920" s="17"/>
      <c r="C920" s="17"/>
      <c r="D920" s="17"/>
      <c r="E920" s="17"/>
      <c r="F920" s="17"/>
      <c r="G920" s="17"/>
    </row>
    <row r="921" spans="2:7" ht="13.2" x14ac:dyDescent="0.25">
      <c r="B921" s="17"/>
      <c r="C921" s="17"/>
      <c r="D921" s="17"/>
      <c r="E921" s="17"/>
      <c r="F921" s="17"/>
      <c r="G921" s="17"/>
    </row>
    <row r="922" spans="2:7" ht="13.2" x14ac:dyDescent="0.25">
      <c r="B922" s="17"/>
      <c r="C922" s="17"/>
      <c r="D922" s="17"/>
      <c r="E922" s="17"/>
      <c r="F922" s="17"/>
      <c r="G922" s="17"/>
    </row>
    <row r="923" spans="2:7" ht="13.2" x14ac:dyDescent="0.25">
      <c r="B923" s="17"/>
      <c r="C923" s="17"/>
      <c r="D923" s="17"/>
      <c r="E923" s="17"/>
      <c r="F923" s="17"/>
      <c r="G923" s="17"/>
    </row>
    <row r="924" spans="2:7" ht="13.2" x14ac:dyDescent="0.25">
      <c r="B924" s="17"/>
      <c r="C924" s="17"/>
      <c r="D924" s="17"/>
      <c r="E924" s="17"/>
      <c r="F924" s="17"/>
      <c r="G924" s="17"/>
    </row>
    <row r="925" spans="2:7" ht="13.2" x14ac:dyDescent="0.25">
      <c r="B925" s="17"/>
      <c r="C925" s="17"/>
      <c r="D925" s="17"/>
      <c r="E925" s="17"/>
      <c r="F925" s="17"/>
      <c r="G925" s="17"/>
    </row>
    <row r="926" spans="2:7" ht="13.2" x14ac:dyDescent="0.25">
      <c r="B926" s="17"/>
      <c r="C926" s="17"/>
      <c r="D926" s="17"/>
      <c r="E926" s="17"/>
      <c r="F926" s="17"/>
      <c r="G926" s="17"/>
    </row>
    <row r="927" spans="2:7" ht="13.2" x14ac:dyDescent="0.25">
      <c r="B927" s="17"/>
      <c r="C927" s="17"/>
      <c r="D927" s="17"/>
      <c r="E927" s="17"/>
      <c r="F927" s="17"/>
      <c r="G927" s="17"/>
    </row>
    <row r="928" spans="2:7" ht="13.2" x14ac:dyDescent="0.25">
      <c r="B928" s="17"/>
      <c r="C928" s="17"/>
      <c r="D928" s="17"/>
      <c r="E928" s="17"/>
      <c r="F928" s="17"/>
      <c r="G928" s="17"/>
    </row>
    <row r="929" spans="2:7" ht="13.2" x14ac:dyDescent="0.25">
      <c r="B929" s="17"/>
      <c r="C929" s="17"/>
      <c r="D929" s="17"/>
      <c r="E929" s="17"/>
      <c r="F929" s="17"/>
      <c r="G929" s="17"/>
    </row>
    <row r="930" spans="2:7" ht="13.2" x14ac:dyDescent="0.25">
      <c r="B930" s="17"/>
      <c r="C930" s="17"/>
      <c r="D930" s="17"/>
      <c r="E930" s="17"/>
      <c r="F930" s="17"/>
      <c r="G930" s="17"/>
    </row>
    <row r="931" spans="2:7" ht="13.2" x14ac:dyDescent="0.25">
      <c r="B931" s="17"/>
      <c r="C931" s="17"/>
      <c r="D931" s="17"/>
      <c r="E931" s="17"/>
      <c r="F931" s="17"/>
      <c r="G931" s="17"/>
    </row>
    <row r="932" spans="2:7" ht="13.2" x14ac:dyDescent="0.25">
      <c r="B932" s="17"/>
      <c r="C932" s="17"/>
      <c r="D932" s="17"/>
      <c r="E932" s="17"/>
      <c r="F932" s="17"/>
      <c r="G932" s="17"/>
    </row>
    <row r="933" spans="2:7" ht="13.2" x14ac:dyDescent="0.25">
      <c r="B933" s="17"/>
      <c r="C933" s="17"/>
      <c r="D933" s="17"/>
      <c r="E933" s="17"/>
      <c r="F933" s="17"/>
      <c r="G933" s="17"/>
    </row>
    <row r="934" spans="2:7" ht="13.2" x14ac:dyDescent="0.25">
      <c r="B934" s="17"/>
      <c r="C934" s="17"/>
      <c r="D934" s="17"/>
      <c r="E934" s="17"/>
      <c r="F934" s="17"/>
      <c r="G934" s="17"/>
    </row>
    <row r="935" spans="2:7" ht="13.2" x14ac:dyDescent="0.25">
      <c r="B935" s="17"/>
      <c r="C935" s="17"/>
      <c r="D935" s="17"/>
      <c r="E935" s="17"/>
      <c r="F935" s="17"/>
      <c r="G935" s="17"/>
    </row>
    <row r="936" spans="2:7" ht="13.2" x14ac:dyDescent="0.25">
      <c r="B936" s="17"/>
      <c r="C936" s="17"/>
      <c r="D936" s="17"/>
      <c r="E936" s="17"/>
      <c r="F936" s="17"/>
      <c r="G936" s="17"/>
    </row>
    <row r="937" spans="2:7" ht="13.2" x14ac:dyDescent="0.25">
      <c r="B937" s="17"/>
      <c r="C937" s="17"/>
      <c r="D937" s="17"/>
      <c r="E937" s="17"/>
      <c r="F937" s="17"/>
      <c r="G937" s="17"/>
    </row>
    <row r="938" spans="2:7" ht="13.2" x14ac:dyDescent="0.25">
      <c r="B938" s="17"/>
      <c r="C938" s="17"/>
      <c r="D938" s="17"/>
      <c r="E938" s="17"/>
      <c r="F938" s="17"/>
      <c r="G938" s="17"/>
    </row>
    <row r="939" spans="2:7" ht="13.2" x14ac:dyDescent="0.25">
      <c r="B939" s="17"/>
      <c r="C939" s="17"/>
      <c r="D939" s="17"/>
      <c r="E939" s="17"/>
      <c r="F939" s="17"/>
      <c r="G939" s="17"/>
    </row>
    <row r="940" spans="2:7" ht="13.2" x14ac:dyDescent="0.25">
      <c r="B940" s="17"/>
      <c r="C940" s="17"/>
      <c r="D940" s="17"/>
      <c r="E940" s="17"/>
      <c r="F940" s="17"/>
      <c r="G940" s="17"/>
    </row>
    <row r="941" spans="2:7" ht="13.2" x14ac:dyDescent="0.25">
      <c r="B941" s="17"/>
      <c r="C941" s="17"/>
      <c r="D941" s="17"/>
      <c r="E941" s="17"/>
      <c r="F941" s="17"/>
      <c r="G941" s="17"/>
    </row>
    <row r="942" spans="2:7" ht="13.2" x14ac:dyDescent="0.25">
      <c r="B942" s="17"/>
      <c r="C942" s="17"/>
      <c r="D942" s="17"/>
      <c r="E942" s="17"/>
      <c r="F942" s="17"/>
      <c r="G942" s="17"/>
    </row>
    <row r="943" spans="2:7" ht="13.2" x14ac:dyDescent="0.25">
      <c r="B943" s="17"/>
      <c r="C943" s="17"/>
      <c r="D943" s="17"/>
      <c r="E943" s="17"/>
      <c r="F943" s="17"/>
      <c r="G943" s="17"/>
    </row>
    <row r="944" spans="2:7" ht="13.2" x14ac:dyDescent="0.25">
      <c r="B944" s="17"/>
      <c r="C944" s="17"/>
      <c r="D944" s="17"/>
      <c r="E944" s="17"/>
      <c r="F944" s="17"/>
      <c r="G944" s="17"/>
    </row>
    <row r="945" spans="2:7" ht="13.2" x14ac:dyDescent="0.25">
      <c r="B945" s="17"/>
      <c r="C945" s="17"/>
      <c r="D945" s="17"/>
      <c r="E945" s="17"/>
      <c r="F945" s="17"/>
      <c r="G945" s="17"/>
    </row>
    <row r="946" spans="2:7" ht="13.2" x14ac:dyDescent="0.25">
      <c r="B946" s="17"/>
      <c r="C946" s="17"/>
      <c r="D946" s="17"/>
      <c r="E946" s="17"/>
      <c r="F946" s="17"/>
      <c r="G946" s="17"/>
    </row>
    <row r="947" spans="2:7" ht="13.2" x14ac:dyDescent="0.25">
      <c r="B947" s="17"/>
      <c r="C947" s="17"/>
      <c r="D947" s="17"/>
      <c r="E947" s="17"/>
      <c r="F947" s="17"/>
      <c r="G947" s="17"/>
    </row>
    <row r="948" spans="2:7" ht="13.2" x14ac:dyDescent="0.25">
      <c r="B948" s="17"/>
      <c r="C948" s="17"/>
      <c r="D948" s="17"/>
      <c r="E948" s="17"/>
      <c r="F948" s="17"/>
      <c r="G948" s="17"/>
    </row>
    <row r="949" spans="2:7" ht="13.2" x14ac:dyDescent="0.25">
      <c r="B949" s="17"/>
      <c r="C949" s="17"/>
      <c r="D949" s="17"/>
      <c r="E949" s="17"/>
      <c r="F949" s="17"/>
      <c r="G949" s="17"/>
    </row>
    <row r="950" spans="2:7" ht="13.2" x14ac:dyDescent="0.25">
      <c r="B950" s="17"/>
      <c r="C950" s="17"/>
      <c r="D950" s="17"/>
      <c r="E950" s="17"/>
      <c r="F950" s="17"/>
      <c r="G950" s="17"/>
    </row>
    <row r="951" spans="2:7" ht="13.2" x14ac:dyDescent="0.25">
      <c r="B951" s="17"/>
      <c r="C951" s="17"/>
      <c r="D951" s="17"/>
      <c r="E951" s="17"/>
      <c r="F951" s="17"/>
      <c r="G951" s="17"/>
    </row>
    <row r="952" spans="2:7" ht="13.2" x14ac:dyDescent="0.25">
      <c r="B952" s="17"/>
      <c r="C952" s="17"/>
      <c r="D952" s="17"/>
      <c r="E952" s="17"/>
      <c r="F952" s="17"/>
      <c r="G952" s="17"/>
    </row>
    <row r="953" spans="2:7" ht="13.2" x14ac:dyDescent="0.25">
      <c r="B953" s="17"/>
      <c r="C953" s="17"/>
      <c r="D953" s="17"/>
      <c r="E953" s="17"/>
      <c r="F953" s="17"/>
      <c r="G953" s="17"/>
    </row>
    <row r="954" spans="2:7" ht="13.2" x14ac:dyDescent="0.25">
      <c r="B954" s="17"/>
      <c r="C954" s="17"/>
      <c r="D954" s="17"/>
      <c r="E954" s="17"/>
      <c r="F954" s="17"/>
      <c r="G954" s="17"/>
    </row>
    <row r="955" spans="2:7" ht="13.2" x14ac:dyDescent="0.25">
      <c r="B955" s="17"/>
      <c r="C955" s="17"/>
      <c r="D955" s="17"/>
      <c r="E955" s="17"/>
      <c r="F955" s="17"/>
      <c r="G955" s="17"/>
    </row>
    <row r="956" spans="2:7" ht="13.2" x14ac:dyDescent="0.25">
      <c r="B956" s="17"/>
      <c r="C956" s="17"/>
      <c r="D956" s="17"/>
      <c r="E956" s="17"/>
      <c r="F956" s="17"/>
      <c r="G956" s="17"/>
    </row>
    <row r="957" spans="2:7" ht="13.2" x14ac:dyDescent="0.25">
      <c r="B957" s="17"/>
      <c r="C957" s="17"/>
      <c r="D957" s="17"/>
      <c r="E957" s="17"/>
      <c r="F957" s="17"/>
      <c r="G957" s="17"/>
    </row>
    <row r="958" spans="2:7" ht="13.2" x14ac:dyDescent="0.25">
      <c r="B958" s="17"/>
      <c r="C958" s="17"/>
      <c r="D958" s="17"/>
      <c r="E958" s="17"/>
      <c r="F958" s="17"/>
      <c r="G958" s="17"/>
    </row>
    <row r="959" spans="2:7" ht="13.2" x14ac:dyDescent="0.25">
      <c r="B959" s="17"/>
      <c r="C959" s="17"/>
      <c r="D959" s="17"/>
      <c r="E959" s="17"/>
      <c r="F959" s="17"/>
      <c r="G959" s="17"/>
    </row>
    <row r="960" spans="2:7" ht="13.2" x14ac:dyDescent="0.25">
      <c r="B960" s="17"/>
      <c r="C960" s="17"/>
      <c r="D960" s="17"/>
      <c r="E960" s="17"/>
      <c r="F960" s="17"/>
      <c r="G960" s="17"/>
    </row>
    <row r="961" spans="2:7" ht="13.2" x14ac:dyDescent="0.25">
      <c r="B961" s="17"/>
      <c r="C961" s="17"/>
      <c r="D961" s="17"/>
      <c r="E961" s="17"/>
      <c r="F961" s="17"/>
      <c r="G961" s="17"/>
    </row>
    <row r="962" spans="2:7" ht="13.2" x14ac:dyDescent="0.25">
      <c r="B962" s="17"/>
      <c r="C962" s="17"/>
      <c r="D962" s="17"/>
      <c r="E962" s="17"/>
      <c r="F962" s="17"/>
      <c r="G962" s="17"/>
    </row>
    <row r="963" spans="2:7" ht="13.2" x14ac:dyDescent="0.25">
      <c r="B963" s="17"/>
      <c r="C963" s="17"/>
      <c r="D963" s="17"/>
      <c r="E963" s="17"/>
      <c r="F963" s="17"/>
      <c r="G963" s="17"/>
    </row>
    <row r="964" spans="2:7" ht="13.2" x14ac:dyDescent="0.25">
      <c r="B964" s="17"/>
      <c r="C964" s="17"/>
      <c r="D964" s="17"/>
      <c r="E964" s="17"/>
      <c r="F964" s="17"/>
      <c r="G964" s="17"/>
    </row>
    <row r="965" spans="2:7" ht="13.2" x14ac:dyDescent="0.25">
      <c r="B965" s="17"/>
      <c r="C965" s="17"/>
      <c r="D965" s="17"/>
      <c r="E965" s="17"/>
      <c r="F965" s="17"/>
      <c r="G965" s="17"/>
    </row>
    <row r="966" spans="2:7" ht="13.2" x14ac:dyDescent="0.25">
      <c r="B966" s="17"/>
      <c r="C966" s="17"/>
      <c r="D966" s="17"/>
      <c r="E966" s="17"/>
      <c r="F966" s="17"/>
      <c r="G966" s="17"/>
    </row>
    <row r="967" spans="2:7" ht="13.2" x14ac:dyDescent="0.25">
      <c r="B967" s="17"/>
      <c r="C967" s="17"/>
      <c r="D967" s="17"/>
      <c r="E967" s="17"/>
      <c r="F967" s="17"/>
      <c r="G967" s="17"/>
    </row>
    <row r="968" spans="2:7" ht="13.2" x14ac:dyDescent="0.25">
      <c r="B968" s="17"/>
      <c r="C968" s="17"/>
      <c r="D968" s="17"/>
      <c r="E968" s="17"/>
      <c r="F968" s="17"/>
      <c r="G968" s="17"/>
    </row>
    <row r="969" spans="2:7" ht="13.2" x14ac:dyDescent="0.25">
      <c r="B969" s="17"/>
      <c r="C969" s="17"/>
      <c r="D969" s="17"/>
      <c r="E969" s="17"/>
      <c r="F969" s="17"/>
      <c r="G969" s="17"/>
    </row>
    <row r="970" spans="2:7" ht="13.2" x14ac:dyDescent="0.25">
      <c r="B970" s="17"/>
      <c r="C970" s="17"/>
      <c r="D970" s="17"/>
      <c r="E970" s="17"/>
      <c r="F970" s="17"/>
      <c r="G970" s="17"/>
    </row>
    <row r="971" spans="2:7" ht="13.2" x14ac:dyDescent="0.25">
      <c r="B971" s="17"/>
      <c r="C971" s="17"/>
      <c r="D971" s="17"/>
      <c r="E971" s="17"/>
      <c r="F971" s="17"/>
      <c r="G971" s="17"/>
    </row>
    <row r="972" spans="2:7" ht="13.2" x14ac:dyDescent="0.25">
      <c r="B972" s="17"/>
      <c r="C972" s="17"/>
      <c r="D972" s="17"/>
      <c r="E972" s="17"/>
      <c r="F972" s="17"/>
      <c r="G972" s="17"/>
    </row>
    <row r="973" spans="2:7" ht="13.2" x14ac:dyDescent="0.25">
      <c r="B973" s="17"/>
      <c r="C973" s="17"/>
      <c r="D973" s="17"/>
      <c r="E973" s="17"/>
      <c r="F973" s="17"/>
      <c r="G973" s="17"/>
    </row>
    <row r="974" spans="2:7" ht="13.2" x14ac:dyDescent="0.25">
      <c r="B974" s="17"/>
      <c r="C974" s="17"/>
      <c r="D974" s="17"/>
      <c r="E974" s="17"/>
      <c r="F974" s="17"/>
      <c r="G974" s="17"/>
    </row>
  </sheetData>
  <autoFilter ref="A2:G4" xr:uid="{00000000-0009-0000-0000-000002000000}"/>
  <mergeCells count="2">
    <mergeCell ref="A1:B1"/>
    <mergeCell ref="C1:G1"/>
  </mergeCells>
  <phoneticPr fontId="5"/>
  <conditionalFormatting sqref="C3:G24">
    <cfRule type="cellIs" dxfId="11" priority="1" operator="greaterThanOrEqual">
      <formula>3</formula>
    </cfRule>
    <cfRule type="cellIs" dxfId="10" priority="2" operator="greaterThanOrEqual">
      <formula>2</formula>
    </cfRule>
    <cfRule type="cellIs" dxfId="9" priority="3" operator="greaterThanOrEqual">
      <formul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000"/>
  <sheetViews>
    <sheetView workbookViewId="0">
      <pane ySplit="1" topLeftCell="A2" activePane="bottomLeft" state="frozen"/>
      <selection sqref="A1:B1"/>
      <selection pane="bottomLeft" sqref="A1:B1"/>
    </sheetView>
  </sheetViews>
  <sheetFormatPr defaultColWidth="12.6640625" defaultRowHeight="15.75" customHeight="1" x14ac:dyDescent="0.25"/>
  <cols>
    <col min="14" max="14" width="54.109375" customWidth="1"/>
    <col min="15" max="15" width="45.88671875" customWidth="1"/>
  </cols>
  <sheetData>
    <row r="1" spans="1:16" ht="13.2" x14ac:dyDescent="0.25">
      <c r="A1" s="8" t="str">
        <f t="array" ref="A1:O237">アンケート結果!A:O</f>
        <v>タイムスタンプ</v>
      </c>
      <c r="B1" s="8" t="str">
        <v>社員番号</v>
      </c>
      <c r="C1" s="8" t="str">
        <v>氏名</v>
      </c>
      <c r="D1" s="8" t="str">
        <v>研修名をお選び下さい。</v>
      </c>
      <c r="E1" s="8" t="str">
        <v>担当した講師名をお選び下さい。</v>
      </c>
      <c r="F1" s="8" t="str">
        <v>① 研修に満足しましたか？（全く思わない：1、思わない：2、思う：3、強く思う：4）</v>
      </c>
      <c r="G1" s="8" t="str">
        <v>② 研修内容は理解出来ましたか？（全く理解出来ていない：1、理解出来ていない：2、理解出来ている：3、十分に理解出来ている：4）</v>
      </c>
      <c r="H1" s="8" t="str">
        <v>③ 研修で新たな学びは得られましたか？または必要な知識は得られましたか？（全く得られていない：1、得られていない：2、得られている：3、十分に得られている：4）</v>
      </c>
      <c r="I1" s="8" t="str">
        <v>④ 研修内容のボリュームは適切でしたか？（全く適切ではない：1、適切ではない：2、適切である：3、十分に適切である：4）</v>
      </c>
      <c r="J1" s="8" t="str">
        <v>⑤ 研修のテキスト、教材に対して満足しましたか？（全く思わない：1、思わない：2、思う：3、強く思う：4）</v>
      </c>
      <c r="K1" s="8" t="str">
        <v>⑥ 講師の講義、あるいはフィードバックに対して満足しましたか？（全く思わない：1、思わない：2、思う：3、強く思う：4）</v>
      </c>
      <c r="L1" s="8" t="str">
        <v>⑦ 講師は研修内容に関する知識を持っていましたか  ？（全く持っていない：1、持っていない：2、持っている：3、十分に持っている：4）</v>
      </c>
      <c r="M1" s="8" t="str">
        <v>⑧  今回の研修で学んだことを、今後の業務で実践する機会はありそうですか？</v>
      </c>
      <c r="N1" s="8" t="str">
        <v>⑨ 研修に対する感想や要望などあれば、自由にご記入下さい。</v>
      </c>
      <c r="O1" s="8" t="str">
        <v>➉ 講師に対する感想や要望などあれば、自由にご記入下さい。</v>
      </c>
      <c r="P1" s="8" t="s">
        <v>423</v>
      </c>
    </row>
    <row r="2" spans="1:16" ht="13.2" hidden="1" x14ac:dyDescent="0.25">
      <c r="A2" s="18">
        <v>45875.740703611111</v>
      </c>
      <c r="B2" s="8">
        <v>586</v>
      </c>
      <c r="C2" s="8" t="str">
        <v>鈴木 健斗</v>
      </c>
      <c r="D2" s="8" t="str">
        <v>プロジェクトマネージャー実践研修</v>
      </c>
      <c r="E2" s="8" t="str">
        <v>永谷 裕子 (プロジェクトマネージャー実践研修担当)</v>
      </c>
      <c r="F2" s="8">
        <v>4</v>
      </c>
      <c r="G2" s="8">
        <v>4</v>
      </c>
      <c r="H2" s="8">
        <v>4</v>
      </c>
      <c r="I2" s="8">
        <v>4</v>
      </c>
      <c r="J2" s="8">
        <v>4</v>
      </c>
      <c r="K2" s="8">
        <v>4</v>
      </c>
      <c r="L2" s="8">
        <v>4</v>
      </c>
      <c r="M2" s="8" t="str">
        <v>ある</v>
      </c>
      <c r="N2" s="8">
        <v>0</v>
      </c>
      <c r="O2" s="8">
        <v>0</v>
      </c>
      <c r="P2" s="19">
        <f t="shared" ref="P2:P256" si="0">IF(A2="", "", INT(A2))</f>
        <v>45875</v>
      </c>
    </row>
    <row r="3" spans="1:16" ht="13.2" hidden="1" x14ac:dyDescent="0.25">
      <c r="A3" s="18">
        <v>45875.741073900463</v>
      </c>
      <c r="B3" s="8">
        <v>1295</v>
      </c>
      <c r="C3" s="8" t="str">
        <v>望月洋平</v>
      </c>
      <c r="D3" s="8" t="str">
        <v>プロジェクトマネージャー実践研修</v>
      </c>
      <c r="E3" s="8" t="str">
        <v>永谷 裕子 (プロジェクトマネージャー実践研修担当)</v>
      </c>
      <c r="F3" s="8">
        <v>4</v>
      </c>
      <c r="G3" s="8">
        <v>4</v>
      </c>
      <c r="H3" s="8">
        <v>4</v>
      </c>
      <c r="I3" s="8">
        <v>3</v>
      </c>
      <c r="J3" s="8">
        <v>3</v>
      </c>
      <c r="K3" s="8">
        <v>3</v>
      </c>
      <c r="L3" s="8">
        <v>4</v>
      </c>
      <c r="M3" s="8" t="str">
        <v>ある</v>
      </c>
      <c r="N3" s="8" t="str">
        <v>座学より演習時間を増やしてほしい</v>
      </c>
      <c r="O3" s="8">
        <v>0</v>
      </c>
      <c r="P3" s="19">
        <f t="shared" si="0"/>
        <v>45875</v>
      </c>
    </row>
    <row r="4" spans="1:16" ht="13.2" hidden="1" x14ac:dyDescent="0.25">
      <c r="A4" s="18">
        <v>45875.74160523148</v>
      </c>
      <c r="B4" s="8">
        <v>1117</v>
      </c>
      <c r="C4" s="8" t="str">
        <v>廣田慎太郎</v>
      </c>
      <c r="D4" s="8" t="str">
        <v>プロジェクトマネージャー実践研修</v>
      </c>
      <c r="E4" s="8" t="str">
        <v>永谷 裕子 (プロジェクトマネージャー実践研修担当)</v>
      </c>
      <c r="F4" s="8">
        <v>4</v>
      </c>
      <c r="G4" s="8">
        <v>4</v>
      </c>
      <c r="H4" s="8">
        <v>4</v>
      </c>
      <c r="I4" s="8">
        <v>4</v>
      </c>
      <c r="J4" s="8">
        <v>4</v>
      </c>
      <c r="K4" s="8">
        <v>4</v>
      </c>
      <c r="L4" s="8">
        <v>4</v>
      </c>
      <c r="M4" s="8" t="str">
        <v>ある</v>
      </c>
      <c r="N4" s="8" t="str">
        <v xml:space="preserve">PCを利用しない形式なので良かった。→PC利用するとどうしても仕事をしてしまう場面があるため。
ワークの題材について、引越じゃなく、具体的なIT関連PJにしても良かったと思う(参加者が全員IT経験者のため)
</v>
      </c>
      <c r="O4" s="8" t="str">
        <v>所々で体験談を挟んでいただいた点が良かったです。ありがとうごさいました。</v>
      </c>
      <c r="P4" s="19">
        <f t="shared" si="0"/>
        <v>45875</v>
      </c>
    </row>
    <row r="5" spans="1:16" ht="13.2" hidden="1" x14ac:dyDescent="0.25">
      <c r="A5" s="18">
        <v>45875.741766099542</v>
      </c>
      <c r="B5" s="8">
        <v>604</v>
      </c>
      <c r="C5" s="8" t="str">
        <v>田中弘紀</v>
      </c>
      <c r="D5" s="8" t="str">
        <v>プロジェクトマネージャー実践研修</v>
      </c>
      <c r="E5" s="8" t="str">
        <v>永谷 裕子 (プロジェクトマネージャー実践研修担当)</v>
      </c>
      <c r="F5" s="8">
        <v>3</v>
      </c>
      <c r="G5" s="8">
        <v>4</v>
      </c>
      <c r="H5" s="8">
        <v>4</v>
      </c>
      <c r="I5" s="8">
        <v>4</v>
      </c>
      <c r="J5" s="8">
        <v>3</v>
      </c>
      <c r="K5" s="8">
        <v>3</v>
      </c>
      <c r="L5" s="8">
        <v>4</v>
      </c>
      <c r="M5" s="8" t="str">
        <v>ある</v>
      </c>
      <c r="N5" s="8" t="str">
        <v>模造紙に手書きでは無く、スプレッドシートやスライドなどで実習に取り組めたら
やりやすいと感じました。</v>
      </c>
      <c r="O5" s="8">
        <v>0</v>
      </c>
      <c r="P5" s="19">
        <f t="shared" si="0"/>
        <v>45875</v>
      </c>
    </row>
    <row r="6" spans="1:16" ht="13.2" hidden="1" x14ac:dyDescent="0.25">
      <c r="A6" s="18">
        <v>45875.742119085648</v>
      </c>
      <c r="B6" s="8">
        <v>1350</v>
      </c>
      <c r="C6" s="8" t="str">
        <v>齋藤ダイキ</v>
      </c>
      <c r="D6" s="8" t="str">
        <v>プロジェクトマネージャー実践研修</v>
      </c>
      <c r="E6" s="8" t="str">
        <v>永谷 裕子 (プロジェクトマネージャー実践研修担当)</v>
      </c>
      <c r="F6" s="8">
        <v>4</v>
      </c>
      <c r="G6" s="8">
        <v>3</v>
      </c>
      <c r="H6" s="8">
        <v>4</v>
      </c>
      <c r="I6" s="8">
        <v>4</v>
      </c>
      <c r="J6" s="8">
        <v>4</v>
      </c>
      <c r="K6" s="8">
        <v>4</v>
      </c>
      <c r="L6" s="8">
        <v>4</v>
      </c>
      <c r="M6" s="8" t="str">
        <v>ある</v>
      </c>
      <c r="N6" s="8" t="str">
        <v>PMでは無いので、PMがどのようなことを考えて業務を行なっているか学びながら体験できてとても良かった</v>
      </c>
      <c r="O6" s="8" t="str">
        <v>実務を行なっていた講師なので、踏み込んだ話を聞けたし、いろいろ話ししてくれて楽しい研修だなと感じた</v>
      </c>
      <c r="P6" s="19">
        <f t="shared" si="0"/>
        <v>45875</v>
      </c>
    </row>
    <row r="7" spans="1:16" ht="13.2" hidden="1" x14ac:dyDescent="0.25">
      <c r="A7" s="18">
        <v>45875.742399062496</v>
      </c>
      <c r="B7" s="8">
        <v>1140</v>
      </c>
      <c r="C7" s="8" t="str">
        <v>長谷川　裕昭</v>
      </c>
      <c r="D7" s="8" t="str">
        <v>プロジェクトマネージャー実践研修</v>
      </c>
      <c r="E7" s="8" t="str">
        <v>永谷 裕子 (プロジェクトマネージャー実践研修担当)</v>
      </c>
      <c r="F7" s="8">
        <v>4</v>
      </c>
      <c r="G7" s="8">
        <v>4</v>
      </c>
      <c r="H7" s="8">
        <v>3</v>
      </c>
      <c r="I7" s="8">
        <v>4</v>
      </c>
      <c r="J7" s="8">
        <v>4</v>
      </c>
      <c r="K7" s="8">
        <v>3</v>
      </c>
      <c r="L7" s="8">
        <v>4</v>
      </c>
      <c r="M7" s="8" t="str">
        <v>ある</v>
      </c>
      <c r="N7" s="8" t="str">
        <v>PMとしてどうするべきか、何をするべきか、何を考えるべきかなど、学び考えることができ非常にいい経験になりました。</v>
      </c>
      <c r="O7" s="8">
        <v>0</v>
      </c>
      <c r="P7" s="19">
        <f t="shared" si="0"/>
        <v>45875</v>
      </c>
    </row>
    <row r="8" spans="1:16" ht="13.2" hidden="1" x14ac:dyDescent="0.25">
      <c r="A8" s="18">
        <v>45875.74242505787</v>
      </c>
      <c r="B8" s="8">
        <v>367</v>
      </c>
      <c r="C8" s="8" t="str">
        <v>小谷大基</v>
      </c>
      <c r="D8" s="8" t="str">
        <v>プロジェクトマネージャー実践研修</v>
      </c>
      <c r="E8" s="8" t="str">
        <v>永谷 裕子 (プロジェクトマネージャー実践研修担当)</v>
      </c>
      <c r="F8" s="8">
        <v>4</v>
      </c>
      <c r="G8" s="8">
        <v>4</v>
      </c>
      <c r="H8" s="8">
        <v>4</v>
      </c>
      <c r="I8" s="8">
        <v>4</v>
      </c>
      <c r="J8" s="8">
        <v>4</v>
      </c>
      <c r="K8" s="8">
        <v>4</v>
      </c>
      <c r="L8" s="8">
        <v>4</v>
      </c>
      <c r="M8" s="8" t="str">
        <v>ある</v>
      </c>
      <c r="N8" s="8" t="str">
        <v>PM目指すかどうか関係無くプロジェクト進行についての大事な知識が詰まっているのでうちのエンジニアが全員受けるべきだと思いました。</v>
      </c>
      <c r="O8" s="8" t="str">
        <v>永谷先生の説明は非常に分かりやすく、自己学習でわからなかった点がクリアになってよかったです。</v>
      </c>
      <c r="P8" s="19">
        <f t="shared" si="0"/>
        <v>45875</v>
      </c>
    </row>
    <row r="9" spans="1:16" ht="13.2" hidden="1" x14ac:dyDescent="0.25">
      <c r="A9" s="18">
        <v>45875.743230266206</v>
      </c>
      <c r="B9" s="8">
        <v>1315</v>
      </c>
      <c r="C9" s="8" t="str">
        <v>小畑アリス</v>
      </c>
      <c r="D9" s="8" t="str">
        <v>プロジェクトマネージャー実践研修</v>
      </c>
      <c r="E9" s="8" t="str">
        <v>永谷 裕子 (プロジェクトマネージャー実践研修担当)</v>
      </c>
      <c r="F9" s="8">
        <v>4</v>
      </c>
      <c r="G9" s="8">
        <v>4</v>
      </c>
      <c r="H9" s="8">
        <v>4</v>
      </c>
      <c r="I9" s="8">
        <v>4</v>
      </c>
      <c r="J9" s="8">
        <v>4</v>
      </c>
      <c r="K9" s="8">
        <v>4</v>
      </c>
      <c r="L9" s="8">
        <v>4</v>
      </c>
      <c r="M9" s="8" t="str">
        <v>ある</v>
      </c>
      <c r="N9" s="8" t="str">
        <v>ワークがたくさんあり楽しかったです。実際に現在担当しているプロジェクトで不安に思ってることや解決策とかを学べました。仕事から離れて対面でやる勉強会はオンラインよりたくさん吸収できたように思います。ありがとうございました。</v>
      </c>
      <c r="O9" s="8" t="str">
        <v>２日間ありがとうございました。いつもワークの発表をした際に、みんなの意見に対して、いいね！と褒めてくださったのがすごく印象的でしたし、日々のMTGで私も真似しようと思いました。pmbokは、本が分厚くて勉強する気にならなかったので、対面でワークたくさんで勉強できたのはすごくありがたかったです。ありがとうございました。これから、PM頑張ります。</v>
      </c>
      <c r="P9" s="19">
        <f t="shared" si="0"/>
        <v>45875</v>
      </c>
    </row>
    <row r="10" spans="1:16" ht="13.2" hidden="1" x14ac:dyDescent="0.25">
      <c r="A10" s="18">
        <v>45875.743291342587</v>
      </c>
      <c r="B10" s="8">
        <v>494</v>
      </c>
      <c r="C10" s="8" t="str">
        <v>阿部幸司</v>
      </c>
      <c r="D10" s="8" t="str">
        <v>プロジェクトマネージャー実践研修</v>
      </c>
      <c r="E10" s="8" t="str">
        <v>永谷 裕子 (プロジェクトマネージャー実践研修担当)</v>
      </c>
      <c r="F10" s="8">
        <v>4</v>
      </c>
      <c r="G10" s="8">
        <v>4</v>
      </c>
      <c r="H10" s="8">
        <v>4</v>
      </c>
      <c r="I10" s="8">
        <v>3</v>
      </c>
      <c r="J10" s="8">
        <v>4</v>
      </c>
      <c r="K10" s="8">
        <v>4</v>
      </c>
      <c r="L10" s="8">
        <v>4</v>
      </c>
      <c r="M10" s="8" t="str">
        <v>ある</v>
      </c>
      <c r="N10" s="8" t="str">
        <v>漠然と知っていたことを体系として知れてよかったです。短い時間の中で要点を押さえての研修だったと思うのでまだまだ奥深いと思っているので復習と自己学習、アウトプットをして忘れないようにしていきたいとおもいます。</v>
      </c>
      <c r="O10" s="8" t="str">
        <v>実際の経験からのお話があってより現場を感じられてよかったです。</v>
      </c>
      <c r="P10" s="19">
        <f t="shared" si="0"/>
        <v>45875</v>
      </c>
    </row>
    <row r="11" spans="1:16" ht="13.2" hidden="1" x14ac:dyDescent="0.25">
      <c r="A11" s="18">
        <v>45875.743574062501</v>
      </c>
      <c r="B11" s="8">
        <v>1332</v>
      </c>
      <c r="C11" s="8" t="str">
        <v>江端隼樹</v>
      </c>
      <c r="D11" s="8" t="str">
        <v>プロジェクトマネージャー実践研修</v>
      </c>
      <c r="E11" s="8" t="str">
        <v>永谷 裕子 (プロジェクトマネージャー実践研修担当)</v>
      </c>
      <c r="F11" s="8">
        <v>4</v>
      </c>
      <c r="G11" s="8">
        <v>4</v>
      </c>
      <c r="H11" s="8">
        <v>4</v>
      </c>
      <c r="I11" s="8">
        <v>4</v>
      </c>
      <c r="J11" s="8">
        <v>4</v>
      </c>
      <c r="K11" s="8">
        <v>4</v>
      </c>
      <c r="L11" s="8">
        <v>4</v>
      </c>
      <c r="M11" s="8" t="str">
        <v>ある</v>
      </c>
      <c r="N11" s="8" t="str">
        <v>今まではっきりとPMという形で参画したプロジェクトはなかったが、WBSの作成やガントチャートは自分なりに作っていた。
ハードスキルは知っていることもあったが、ソフトスキルは知らないことも多かったので、これから身につけたい</v>
      </c>
      <c r="O11" s="8" t="str">
        <v>永谷さんの経験もたくさん話してくださり、参考になりました</v>
      </c>
      <c r="P11" s="19">
        <f t="shared" si="0"/>
        <v>45875</v>
      </c>
    </row>
    <row r="12" spans="1:16" ht="13.2" hidden="1" x14ac:dyDescent="0.25">
      <c r="A12" s="18">
        <v>45875.743615335647</v>
      </c>
      <c r="B12" s="8">
        <v>345</v>
      </c>
      <c r="C12" s="8" t="str">
        <v>謝花　彰一</v>
      </c>
      <c r="D12" s="8" t="str">
        <v>プロジェクトマネージャー実践研修</v>
      </c>
      <c r="E12" s="8" t="str">
        <v>永谷 裕子 (プロジェクトマネージャー実践研修担当)</v>
      </c>
      <c r="F12" s="8">
        <v>4</v>
      </c>
      <c r="G12" s="8">
        <v>3</v>
      </c>
      <c r="H12" s="8">
        <v>4</v>
      </c>
      <c r="I12" s="8">
        <v>3</v>
      </c>
      <c r="J12" s="8">
        <v>2</v>
      </c>
      <c r="K12" s="8">
        <v>4</v>
      </c>
      <c r="L12" s="8">
        <v>4</v>
      </c>
      <c r="M12" s="8" t="str">
        <v>ある</v>
      </c>
      <c r="N12" s="8" t="str">
        <v>実践パートがもう少し多ければいいかなと思いました。</v>
      </c>
      <c r="O12" s="8" t="str">
        <v>色々な自身の経験談があり楽しく進められた、マネジメントに対する知識も凄いなと思いました。</v>
      </c>
      <c r="P12" s="19">
        <f t="shared" si="0"/>
        <v>45875</v>
      </c>
    </row>
    <row r="13" spans="1:16" ht="13.2" hidden="1" x14ac:dyDescent="0.25">
      <c r="A13" s="18">
        <v>45875.744614895833</v>
      </c>
      <c r="B13" s="8">
        <v>1152</v>
      </c>
      <c r="C13" s="8" t="str">
        <v>片山健太郎</v>
      </c>
      <c r="D13" s="8" t="str">
        <v>プロジェクトマネージャー実践研修</v>
      </c>
      <c r="E13" s="8" t="str">
        <v>永谷 裕子 (プロジェクトマネージャー実践研修担当)</v>
      </c>
      <c r="F13" s="8">
        <v>4</v>
      </c>
      <c r="G13" s="8">
        <v>3</v>
      </c>
      <c r="H13" s="8">
        <v>4</v>
      </c>
      <c r="I13" s="8">
        <v>4</v>
      </c>
      <c r="J13" s="8">
        <v>3</v>
      </c>
      <c r="K13" s="8">
        <v>4</v>
      </c>
      <c r="L13" s="8">
        <v>4</v>
      </c>
      <c r="M13" s="8" t="str">
        <v>ある</v>
      </c>
      <c r="N13" s="8">
        <v>0</v>
      </c>
      <c r="O13" s="8">
        <v>0</v>
      </c>
      <c r="P13" s="19">
        <f t="shared" si="0"/>
        <v>45875</v>
      </c>
    </row>
    <row r="14" spans="1:16" ht="13.2" hidden="1" x14ac:dyDescent="0.25">
      <c r="A14" s="18">
        <v>45875.745910833335</v>
      </c>
      <c r="B14" s="8">
        <v>1438</v>
      </c>
      <c r="C14" s="8" t="str">
        <v>中村円香</v>
      </c>
      <c r="D14" s="8" t="str">
        <v>プロジェクトマネージャー実践研修</v>
      </c>
      <c r="E14" s="8" t="str">
        <v>永谷 裕子 (プロジェクトマネージャー実践研修担当)</v>
      </c>
      <c r="F14" s="8">
        <v>4</v>
      </c>
      <c r="G14" s="8">
        <v>4</v>
      </c>
      <c r="H14" s="8">
        <v>4</v>
      </c>
      <c r="I14" s="8">
        <v>3</v>
      </c>
      <c r="J14" s="8">
        <v>4</v>
      </c>
      <c r="K14" s="8">
        <v>4</v>
      </c>
      <c r="L14" s="8">
        <v>4</v>
      </c>
      <c r="M14" s="8" t="str">
        <v>ある</v>
      </c>
      <c r="N14" s="8" t="str">
        <v>実践形式のテーマがわかりやすく、PMの経験がなくてもわかりやすかったです。</v>
      </c>
      <c r="O14" s="8" t="str">
        <v>話題が豊富で何に対しても回答していただけたので、話しやすかったです。</v>
      </c>
      <c r="P14" s="19">
        <f t="shared" si="0"/>
        <v>45875</v>
      </c>
    </row>
    <row r="15" spans="1:16" ht="13.2" x14ac:dyDescent="0.25">
      <c r="A15" s="18">
        <v>45895.757358391202</v>
      </c>
      <c r="B15" s="8">
        <v>1120</v>
      </c>
      <c r="C15" s="8" t="str">
        <v>辻隆範</v>
      </c>
      <c r="D15" s="8" t="str">
        <v>フロントエンドエンジニア実践研修(React) 初級編</v>
      </c>
      <c r="E15" s="8" t="str">
        <v>日暮 香美 (フロントエンドエンジニア実践研修(React) 初級編、中級編担当)</v>
      </c>
      <c r="F15" s="8">
        <v>3</v>
      </c>
      <c r="G15" s="8">
        <v>3</v>
      </c>
      <c r="H15" s="8">
        <v>3</v>
      </c>
      <c r="I15" s="8">
        <v>3</v>
      </c>
      <c r="J15" s="8">
        <v>2</v>
      </c>
      <c r="K15" s="8">
        <v>3</v>
      </c>
      <c r="L15" s="8">
        <v>3</v>
      </c>
      <c r="M15" s="8" t="str">
        <v>分からない</v>
      </c>
      <c r="N15" s="8" t="str">
        <v>資料がどこまで含まれているのかわかりずらく、どこから自分である程度調べるべきなのか、これで進め方はあっているのかという不安があった</v>
      </c>
      <c r="O15" s="8" t="str">
        <v>丁寧にご対応いただきありがたかったです。</v>
      </c>
      <c r="P15" s="19">
        <f t="shared" si="0"/>
        <v>45895</v>
      </c>
    </row>
    <row r="16" spans="1:16" ht="13.2" x14ac:dyDescent="0.25">
      <c r="A16" s="18">
        <v>45895.796877743051</v>
      </c>
      <c r="B16" s="8">
        <v>1180</v>
      </c>
      <c r="C16" s="8" t="str">
        <v>内藤宏治</v>
      </c>
      <c r="D16" s="8" t="str">
        <v>フロントエンドエンジニア実践研修(React) 初級編</v>
      </c>
      <c r="E16" s="8" t="str">
        <v>日暮 香美 (フロントエンドエンジニア実践研修(React) 初級編、中級編担当)</v>
      </c>
      <c r="F16" s="8">
        <v>2</v>
      </c>
      <c r="G16" s="8">
        <v>3</v>
      </c>
      <c r="H16" s="8">
        <v>3</v>
      </c>
      <c r="I16" s="8">
        <v>2</v>
      </c>
      <c r="J16" s="8">
        <v>1</v>
      </c>
      <c r="K16" s="8">
        <v>3</v>
      </c>
      <c r="L16" s="8">
        <v>3</v>
      </c>
      <c r="M16" s="8" t="str">
        <v>ある</v>
      </c>
      <c r="N16" s="8">
        <v>0</v>
      </c>
      <c r="O16" s="8">
        <v>0</v>
      </c>
      <c r="P16" s="19">
        <f t="shared" si="0"/>
        <v>45895</v>
      </c>
    </row>
    <row r="17" spans="1:16" ht="13.2" x14ac:dyDescent="0.25">
      <c r="A17" s="18">
        <v>45898.565459293983</v>
      </c>
      <c r="B17" s="8">
        <v>1343</v>
      </c>
      <c r="C17" s="8" t="str">
        <v>雪吉礼名</v>
      </c>
      <c r="D17" s="8" t="str">
        <v>フロントエンドエンジニア実践研修(React) 中級編</v>
      </c>
      <c r="E17" s="8" t="str">
        <v>柴﨑 良平 (フロントエンドエンジニア実践研修(React) 中級編担当)</v>
      </c>
      <c r="F17" s="8">
        <v>4</v>
      </c>
      <c r="G17" s="8">
        <v>3</v>
      </c>
      <c r="H17" s="8">
        <v>4</v>
      </c>
      <c r="I17" s="8">
        <v>3</v>
      </c>
      <c r="J17" s="8">
        <v>3</v>
      </c>
      <c r="K17" s="8">
        <v>4</v>
      </c>
      <c r="L17" s="8">
        <v>4</v>
      </c>
      <c r="M17" s="8" t="str">
        <v>ある</v>
      </c>
      <c r="N17" s="8" t="str">
        <v>ReduxやSliceをほとんど知らなかったのでつまづくこともありましたが、調べながら進めることができました。
案件が落ち着いている時期だったので、今回は早めに提出ができました。
繁忙期と重なっていたら、課題をこなすのが難しかったかなと感じました。</v>
      </c>
      <c r="O17" s="8" t="str">
        <v>細かい点まで確認していただきありがとうございました。</v>
      </c>
      <c r="P17" s="19">
        <f t="shared" si="0"/>
        <v>45898</v>
      </c>
    </row>
    <row r="18" spans="1:16" ht="13.2" x14ac:dyDescent="0.25">
      <c r="A18" s="18">
        <v>45902.74537769676</v>
      </c>
      <c r="B18" s="8">
        <v>983</v>
      </c>
      <c r="C18" s="8" t="str">
        <v>田中辰弥</v>
      </c>
      <c r="D18" s="8" t="str">
        <v>フロントエンドエンジニア実践研修(React) 初級編</v>
      </c>
      <c r="E18" s="8" t="str">
        <v>伊藤 健一 (フロントエンドエンジニア実践研修(React) 初級編担当)</v>
      </c>
      <c r="F18" s="8">
        <v>2</v>
      </c>
      <c r="G18" s="8">
        <v>3</v>
      </c>
      <c r="H18" s="8">
        <v>3</v>
      </c>
      <c r="I18" s="8">
        <v>3</v>
      </c>
      <c r="J18" s="8">
        <v>2</v>
      </c>
      <c r="K18" s="8">
        <v>2</v>
      </c>
      <c r="L18" s="8">
        <v>2</v>
      </c>
      <c r="M18" s="8" t="str">
        <v>分からない</v>
      </c>
      <c r="N18" s="8" t="str">
        <v>研修課題が誤記がわりとあったり、問題の内容がわかりづらいところがあったので、もう少し問題内容を正確に作成して頂きたいと思いました。</v>
      </c>
      <c r="O18" s="8">
        <v>0</v>
      </c>
      <c r="P18" s="19">
        <f t="shared" si="0"/>
        <v>45902</v>
      </c>
    </row>
    <row r="19" spans="1:16" ht="13.2" x14ac:dyDescent="0.25">
      <c r="A19" s="18">
        <v>45904.461682905094</v>
      </c>
      <c r="B19" s="8" t="str">
        <v>001475</v>
      </c>
      <c r="C19" s="8" t="str">
        <v>Joao Henrique Hideki Shirata</v>
      </c>
      <c r="D19" s="8" t="str">
        <v>クラウドインフラエンジニア実践研修(AWS) 初級編</v>
      </c>
      <c r="E19" s="8" t="str">
        <v>天野 盛介 (クラウドインフラエンジニア実践研修(AWS) 初級編、中級編担当)</v>
      </c>
      <c r="F19" s="8">
        <v>4</v>
      </c>
      <c r="G19" s="8">
        <v>4</v>
      </c>
      <c r="H19" s="8">
        <v>4</v>
      </c>
      <c r="I19" s="8">
        <v>4</v>
      </c>
      <c r="J19" s="8">
        <v>4</v>
      </c>
      <c r="K19" s="8">
        <v>4</v>
      </c>
      <c r="L19" s="8">
        <v>4</v>
      </c>
      <c r="M19" s="8" t="str">
        <v>ある</v>
      </c>
      <c r="N19" s="8">
        <v>0</v>
      </c>
      <c r="O19" s="8">
        <v>0</v>
      </c>
      <c r="P19" s="19">
        <f t="shared" si="0"/>
        <v>45904</v>
      </c>
    </row>
    <row r="20" spans="1:16" ht="13.2" x14ac:dyDescent="0.25">
      <c r="A20" s="18">
        <v>45904.469707881944</v>
      </c>
      <c r="B20" s="8">
        <v>1430</v>
      </c>
      <c r="C20" s="8" t="str">
        <v>佐々木淳</v>
      </c>
      <c r="D20" s="8" t="str">
        <v>クラウドインフラエンジニア実践研修(AWS) 初級編</v>
      </c>
      <c r="E20" s="8" t="str">
        <v>天野 盛介 (クラウドインフラエンジニア実践研修(AWS) 初級編、中級編担当)</v>
      </c>
      <c r="F20" s="8">
        <v>3</v>
      </c>
      <c r="G20" s="8">
        <v>3</v>
      </c>
      <c r="H20" s="8">
        <v>3</v>
      </c>
      <c r="I20" s="8">
        <v>3</v>
      </c>
      <c r="J20" s="8">
        <v>2</v>
      </c>
      <c r="K20" s="8">
        <v>3</v>
      </c>
      <c r="L20" s="8">
        <v>3</v>
      </c>
      <c r="M20" s="8" t="str">
        <v>ある</v>
      </c>
      <c r="N20" s="8" t="str">
        <v>学びがあり、受講して良かったです。なお、研修テキスト（手順書）についての意見が2点あります。1点目として、品質についてです。手順書の記載誤りにより、手順どおりにいかないところが複数あり、想定以上に時間がかかりました。配布前の確認が不足していると思われます。2点目は、記載内容として、要件と手順以外の記載が少ないため、理解度向上につながるようなTipsを増やすと尚良いと思いました。Tipsの例として、サービスのユースケース、方法が複数あるケースでそれぞれのメリット・デメリット、などです。</v>
      </c>
      <c r="O20" s="8" t="str">
        <v>丁寧にご対応をいただき、ありがとうございました。</v>
      </c>
      <c r="P20" s="19">
        <f t="shared" si="0"/>
        <v>45904</v>
      </c>
    </row>
    <row r="21" spans="1:16" ht="13.2" hidden="1" x14ac:dyDescent="0.25">
      <c r="A21" s="18">
        <v>45904.788811006947</v>
      </c>
      <c r="B21" s="8">
        <v>909</v>
      </c>
      <c r="C21" s="8" t="str">
        <v>緒方遼太郎</v>
      </c>
      <c r="D21" s="8" t="str">
        <v>システムエンジニア実践研修</v>
      </c>
      <c r="E21" s="8" t="str">
        <v>大矢 和輝 (システムエンジニア実践研修担当)</v>
      </c>
      <c r="F21" s="8">
        <v>4</v>
      </c>
      <c r="G21" s="8">
        <v>3</v>
      </c>
      <c r="H21" s="8">
        <v>4</v>
      </c>
      <c r="I21" s="8">
        <v>4</v>
      </c>
      <c r="J21" s="8">
        <v>4</v>
      </c>
      <c r="K21" s="8">
        <v>4</v>
      </c>
      <c r="L21" s="8">
        <v>4</v>
      </c>
      <c r="M21" s="8" t="str">
        <v>分からない</v>
      </c>
      <c r="N21" s="8">
        <v>0</v>
      </c>
      <c r="O21" s="8" t="str">
        <v>資料を読み込む時間が多くあった、印象なので、別日で事前に読み込める機会があればいいなと思いました。</v>
      </c>
      <c r="P21" s="19">
        <f t="shared" si="0"/>
        <v>45904</v>
      </c>
    </row>
    <row r="22" spans="1:16" ht="13.2" hidden="1" x14ac:dyDescent="0.25">
      <c r="A22" s="18">
        <v>45904.788921643514</v>
      </c>
      <c r="B22" s="8">
        <v>1296</v>
      </c>
      <c r="C22" s="8" t="str">
        <v>南川颯</v>
      </c>
      <c r="D22" s="8" t="str">
        <v>システムエンジニア実践研修</v>
      </c>
      <c r="E22" s="8" t="str">
        <v>大矢 和輝 (システムエンジニア実践研修担当)</v>
      </c>
      <c r="F22" s="8">
        <v>2</v>
      </c>
      <c r="G22" s="8">
        <v>2</v>
      </c>
      <c r="H22" s="8">
        <v>3</v>
      </c>
      <c r="I22" s="8">
        <v>3</v>
      </c>
      <c r="J22" s="8">
        <v>2</v>
      </c>
      <c r="K22" s="8">
        <v>3</v>
      </c>
      <c r="L22" s="8">
        <v>3</v>
      </c>
      <c r="M22" s="8" t="str">
        <v>ある</v>
      </c>
      <c r="N22" s="8">
        <v>0</v>
      </c>
      <c r="O22" s="8">
        <v>0</v>
      </c>
      <c r="P22" s="19">
        <f t="shared" si="0"/>
        <v>45904</v>
      </c>
    </row>
    <row r="23" spans="1:16" ht="13.2" hidden="1" x14ac:dyDescent="0.25">
      <c r="A23" s="18">
        <v>45904.789899675925</v>
      </c>
      <c r="B23" s="8">
        <v>1372</v>
      </c>
      <c r="C23" s="8" t="str">
        <v>本田詞音</v>
      </c>
      <c r="D23" s="8" t="str">
        <v>システムエンジニア実践研修</v>
      </c>
      <c r="E23" s="8" t="str">
        <v>大矢 和輝 (システムエンジニア実践研修担当)</v>
      </c>
      <c r="F23" s="8">
        <v>4</v>
      </c>
      <c r="G23" s="8">
        <v>4</v>
      </c>
      <c r="H23" s="8">
        <v>4</v>
      </c>
      <c r="I23" s="8">
        <v>4</v>
      </c>
      <c r="J23" s="8">
        <v>4</v>
      </c>
      <c r="K23" s="8">
        <v>4</v>
      </c>
      <c r="L23" s="8">
        <v>4</v>
      </c>
      <c r="M23" s="8" t="str">
        <v>ある</v>
      </c>
      <c r="N23" s="8">
        <v>0</v>
      </c>
      <c r="O23" s="8" t="str">
        <v>資料も教え方も実践課題もすごく良く、ためになりました。</v>
      </c>
      <c r="P23" s="19">
        <f t="shared" si="0"/>
        <v>45904</v>
      </c>
    </row>
    <row r="24" spans="1:16" ht="13.2" hidden="1" x14ac:dyDescent="0.25">
      <c r="A24" s="18">
        <v>45904.789978402783</v>
      </c>
      <c r="B24" s="8">
        <v>315</v>
      </c>
      <c r="C24" s="8" t="str">
        <v>足立洋介</v>
      </c>
      <c r="D24" s="8" t="str">
        <v>システムエンジニア実践研修</v>
      </c>
      <c r="E24" s="8" t="str">
        <v>大矢 和輝 (システムエンジニア実践研修担当)</v>
      </c>
      <c r="F24" s="8">
        <v>3</v>
      </c>
      <c r="G24" s="8">
        <v>4</v>
      </c>
      <c r="H24" s="8">
        <v>3</v>
      </c>
      <c r="I24" s="8">
        <v>3</v>
      </c>
      <c r="J24" s="8">
        <v>3</v>
      </c>
      <c r="K24" s="8">
        <v>3</v>
      </c>
      <c r="L24" s="8">
        <v>4</v>
      </c>
      <c r="M24" s="8" t="str">
        <v>ある</v>
      </c>
      <c r="N24" s="8" t="str">
        <v>DB定義や画面入力書などを業務上やっていた、見たことがあったため、新たな学びというより復習になる部分が多かった。ユーザー側の要件定義の部分は未知の部分のため経験からの話が大変ためになった。</v>
      </c>
      <c r="O24" s="8">
        <v>0</v>
      </c>
      <c r="P24" s="19">
        <f t="shared" si="0"/>
        <v>45904</v>
      </c>
    </row>
    <row r="25" spans="1:16" ht="13.2" hidden="1" x14ac:dyDescent="0.25">
      <c r="A25" s="18">
        <v>45904.790057384263</v>
      </c>
      <c r="B25" s="8">
        <v>985</v>
      </c>
      <c r="C25" s="8" t="str">
        <v>宇山卓見</v>
      </c>
      <c r="D25" s="8" t="str">
        <v>システムエンジニア実践研修</v>
      </c>
      <c r="E25" s="8" t="str">
        <v>大矢 和輝 (システムエンジニア実践研修担当)</v>
      </c>
      <c r="F25" s="8">
        <v>1</v>
      </c>
      <c r="G25" s="8">
        <v>4</v>
      </c>
      <c r="H25" s="8">
        <v>2</v>
      </c>
      <c r="I25" s="8">
        <v>2</v>
      </c>
      <c r="J25" s="8">
        <v>2</v>
      </c>
      <c r="K25" s="8">
        <v>3</v>
      </c>
      <c r="L25" s="8">
        <v>4</v>
      </c>
      <c r="M25" s="8" t="str">
        <v>ある</v>
      </c>
      <c r="N25" s="8" t="str">
        <v>実業まで普段やっていることより難易度がかなり低く感じた（私にとっては当たり前のことがほとんどだった）。</v>
      </c>
      <c r="O25" s="8" t="str">
        <v>話し方はすごく分かりやすかったので、今回の内容を難しくて感じた方にはいい研修なのかなと思いました。</v>
      </c>
      <c r="P25" s="19">
        <f t="shared" si="0"/>
        <v>45904</v>
      </c>
    </row>
    <row r="26" spans="1:16" ht="13.2" hidden="1" x14ac:dyDescent="0.25">
      <c r="A26" s="18">
        <v>45904.790443680555</v>
      </c>
      <c r="B26" s="8">
        <v>1027</v>
      </c>
      <c r="C26" s="8" t="str">
        <v>畦﨑凜</v>
      </c>
      <c r="D26" s="8" t="str">
        <v>システムエンジニア実践研修</v>
      </c>
      <c r="E26" s="8" t="str">
        <v>大矢 和輝 (システムエンジニア実践研修担当)</v>
      </c>
      <c r="F26" s="8">
        <v>3</v>
      </c>
      <c r="G26" s="8">
        <v>3</v>
      </c>
      <c r="H26" s="8">
        <v>4</v>
      </c>
      <c r="I26" s="8">
        <v>3</v>
      </c>
      <c r="J26" s="8">
        <v>3</v>
      </c>
      <c r="K26" s="8">
        <v>3</v>
      </c>
      <c r="L26" s="8">
        <v>3</v>
      </c>
      <c r="M26" s="8" t="str">
        <v>ある</v>
      </c>
      <c r="N26" s="8">
        <v>0</v>
      </c>
      <c r="O26" s="8">
        <v>0</v>
      </c>
      <c r="P26" s="19">
        <f t="shared" si="0"/>
        <v>45904</v>
      </c>
    </row>
    <row r="27" spans="1:16" ht="13.2" hidden="1" x14ac:dyDescent="0.25">
      <c r="A27" s="18">
        <v>45904.790654050928</v>
      </c>
      <c r="B27" s="8">
        <v>1286</v>
      </c>
      <c r="C27" s="8" t="str">
        <v>古賀巧</v>
      </c>
      <c r="D27" s="8" t="str">
        <v>システムエンジニア実践研修</v>
      </c>
      <c r="E27" s="8" t="str">
        <v>大矢 和輝 (システムエンジニア実践研修担当)</v>
      </c>
      <c r="F27" s="8">
        <v>4</v>
      </c>
      <c r="G27" s="8">
        <v>4</v>
      </c>
      <c r="H27" s="8">
        <v>4</v>
      </c>
      <c r="I27" s="8">
        <v>4</v>
      </c>
      <c r="J27" s="8">
        <v>4</v>
      </c>
      <c r="K27" s="8">
        <v>4</v>
      </c>
      <c r="L27" s="8">
        <v>4</v>
      </c>
      <c r="M27" s="8" t="str">
        <v>ある</v>
      </c>
      <c r="N27" s="8" t="str">
        <v>リモートではなく、集まって参加する意味があった。早起き成功してよかった。
頂いた資料がとても参考になったので見返したい。</v>
      </c>
      <c r="O27" s="8" t="str">
        <v>リモートではなく、集まって参加する意味があった。早起き成功してよかった。
頂いた資料がとても参考になったので見返したい。</v>
      </c>
      <c r="P27" s="19">
        <f t="shared" si="0"/>
        <v>45904</v>
      </c>
    </row>
    <row r="28" spans="1:16" ht="13.2" hidden="1" x14ac:dyDescent="0.25">
      <c r="A28" s="18">
        <v>45904.791192152778</v>
      </c>
      <c r="B28" s="8" t="str">
        <v>001195</v>
      </c>
      <c r="C28" s="8" t="str">
        <v>木俣颯太</v>
      </c>
      <c r="D28" s="8" t="str">
        <v>システムエンジニア実践研修</v>
      </c>
      <c r="E28" s="8" t="str">
        <v>大矢 和輝 (システムエンジニア実践研修担当)</v>
      </c>
      <c r="F28" s="8">
        <v>3</v>
      </c>
      <c r="G28" s="8">
        <v>4</v>
      </c>
      <c r="H28" s="8">
        <v>4</v>
      </c>
      <c r="I28" s="8">
        <v>3</v>
      </c>
      <c r="J28" s="8">
        <v>4</v>
      </c>
      <c r="K28" s="8">
        <v>3</v>
      </c>
      <c r="L28" s="8">
        <v>1</v>
      </c>
      <c r="M28" s="8" t="str">
        <v>分からない</v>
      </c>
      <c r="N28" s="8" t="str">
        <v>新しい知識の研修でとても勉強になりました。
普段の業務がインフラの運用が主なので今後アプリの設計書や用件定義書を読み込む際にどのような内容が記載あるのかが理解できました。</v>
      </c>
      <c r="O28" s="8">
        <v>0</v>
      </c>
      <c r="P28" s="19">
        <f t="shared" si="0"/>
        <v>45904</v>
      </c>
    </row>
    <row r="29" spans="1:16" ht="13.2" hidden="1" x14ac:dyDescent="0.25">
      <c r="A29" s="18">
        <v>45904.791786064816</v>
      </c>
      <c r="B29" s="8" t="str">
        <v>001205</v>
      </c>
      <c r="C29" s="8" t="str">
        <v>佐藤夏実</v>
      </c>
      <c r="D29" s="8" t="str">
        <v>システムエンジニア実践研修</v>
      </c>
      <c r="E29" s="8" t="str">
        <v>大矢 和輝 (システムエンジニア実践研修担当)</v>
      </c>
      <c r="F29" s="8">
        <v>3</v>
      </c>
      <c r="G29" s="8">
        <v>3</v>
      </c>
      <c r="H29" s="8">
        <v>3</v>
      </c>
      <c r="I29" s="8">
        <v>3</v>
      </c>
      <c r="J29" s="8">
        <v>2</v>
      </c>
      <c r="K29" s="8">
        <v>3</v>
      </c>
      <c r="L29" s="8">
        <v>3</v>
      </c>
      <c r="M29" s="8" t="str">
        <v>分からない</v>
      </c>
      <c r="N29" s="8" t="str">
        <v>システムエンジニアの全体像がわかってよかった。あまり知識がなかったのでイーランニングもとてもためになった。イーランニング比べて目的がよくわからなかったらつまずきやすいところなどがまとめられたらよかったかと思った。後半は単純作業だと感じた。</v>
      </c>
      <c r="O29" s="8" t="str">
        <v>本日はありがとうございました。今後システムエンジニアの一部の仕事に関わることもあると思うので今日の経験を活かしたいとおもいました。ありがとうございます。</v>
      </c>
      <c r="P29" s="19">
        <f t="shared" si="0"/>
        <v>45904</v>
      </c>
    </row>
    <row r="30" spans="1:16" ht="13.2" hidden="1" x14ac:dyDescent="0.25">
      <c r="A30" s="18">
        <v>45904.792697685189</v>
      </c>
      <c r="B30" s="8" t="str">
        <v>001270</v>
      </c>
      <c r="C30" s="8" t="str">
        <v>山岸一範</v>
      </c>
      <c r="D30" s="8" t="str">
        <v>システムエンジニア実践研修</v>
      </c>
      <c r="E30" s="8" t="str">
        <v>大矢 和輝 (システムエンジニア実践研修担当)</v>
      </c>
      <c r="F30" s="8">
        <v>3</v>
      </c>
      <c r="G30" s="8">
        <v>4</v>
      </c>
      <c r="H30" s="8">
        <v>2</v>
      </c>
      <c r="I30" s="8">
        <v>2</v>
      </c>
      <c r="J30" s="8">
        <v>3</v>
      </c>
      <c r="K30" s="8">
        <v>3</v>
      </c>
      <c r="L30" s="8">
        <v>3</v>
      </c>
      <c r="M30" s="8" t="str">
        <v>ある</v>
      </c>
      <c r="N30" s="8" t="str">
        <v>要件定義、基本設計、詳細設計で作成するドキュメントで曖昧なものがあるので、このケースではこのフェーズで作る必要があるとかも教えて欲しかった。
手で設計書は普段書かないのでPCで書かせて欲しかった。
オンライン開催でPCで課題を各自でやって、出来上がった課題の成果物を画面共有で見せる方が効率がいいと思った。</v>
      </c>
      <c r="O30" s="8" t="str">
        <v>丁寧で質問に対しても詳しく答えてくださって、雰囲気はとてもよかった。</v>
      </c>
      <c r="P30" s="19">
        <f t="shared" si="0"/>
        <v>45904</v>
      </c>
    </row>
    <row r="31" spans="1:16" ht="13.2" hidden="1" x14ac:dyDescent="0.25">
      <c r="A31" s="18">
        <v>45904.79459351852</v>
      </c>
      <c r="B31" s="8">
        <v>1029</v>
      </c>
      <c r="C31" s="8" t="str">
        <v>大橋絵実</v>
      </c>
      <c r="D31" s="8" t="str">
        <v>システムエンジニア実践研修</v>
      </c>
      <c r="E31" s="8" t="str">
        <v>大矢 和輝 (システムエンジニア実践研修担当)</v>
      </c>
      <c r="F31" s="8">
        <v>2</v>
      </c>
      <c r="G31" s="8">
        <v>4</v>
      </c>
      <c r="H31" s="8">
        <v>2</v>
      </c>
      <c r="I31" s="8">
        <v>2</v>
      </c>
      <c r="J31" s="8">
        <v>1</v>
      </c>
      <c r="K31" s="8">
        <v>2</v>
      </c>
      <c r="L31" s="8">
        <v>4</v>
      </c>
      <c r="M31" s="8" t="str">
        <v>ある</v>
      </c>
      <c r="N31" s="8" t="str">
        <v>本日はありがとうございました。完全アナログだったため、より業務に近いように色んなツール等を用いながら学べるとより実践に活かせそうだなあと感じました。また、内容が広く浅くだったため、個人的にはDB設計や業務フローをより深く学びたかったです。</v>
      </c>
      <c r="O31" s="8">
        <v>0</v>
      </c>
      <c r="P31" s="19">
        <f t="shared" si="0"/>
        <v>45904</v>
      </c>
    </row>
    <row r="32" spans="1:16" ht="13.2" hidden="1" x14ac:dyDescent="0.25">
      <c r="A32" s="18">
        <v>45904.806776805555</v>
      </c>
      <c r="B32" s="8" t="str">
        <v>001326</v>
      </c>
      <c r="C32" s="8" t="str">
        <v>吉田 優太</v>
      </c>
      <c r="D32" s="8" t="str">
        <v>システムエンジニア実践研修</v>
      </c>
      <c r="E32" s="8" t="str">
        <v>大矢 和輝 (システムエンジニア実践研修担当)</v>
      </c>
      <c r="F32" s="8">
        <v>4</v>
      </c>
      <c r="G32" s="8">
        <v>3</v>
      </c>
      <c r="H32" s="8">
        <v>4</v>
      </c>
      <c r="I32" s="8">
        <v>4</v>
      </c>
      <c r="J32" s="8">
        <v>4</v>
      </c>
      <c r="K32" s="8">
        <v>3</v>
      </c>
      <c r="L32" s="8">
        <v>4</v>
      </c>
      <c r="M32" s="8" t="str">
        <v>ある</v>
      </c>
      <c r="N32" s="8" t="str">
        <v>この度は研修の機会をいただきありがとうございました。
今まで要件定義と基本設計を体系的に教わる機会が無かったので、とても有意義でした。
研修内容も現役で上流工程を担当されている方だったので、実務に即した形で大変参考になりました。
一つ要望がありまして、ワーク実施する際の様式が手書きでやりにくさを感じました。
早さと共有しやすさを考慮してPCでやらせてもらえるともっと良かったかなと思いました。
(講師の方も若干やりにくそうでした。。。)
Google meetの画面共有を使えば個人単位での発表とかもやりやすそうなので、次期以降で検討もらえればと思います。
とはいえ、満足度は高かったです！</v>
      </c>
      <c r="O32" s="8" t="str">
        <v>今回のような形式での講義は初めてと伺っていましたが、そこまで違和感は無かったです。
段取り周りで若干不慣れな印象を抱きましたが、研修の質や満足度を著しく下げるような物ではなかったです。
スライド資料も読みやすく感じました。
要望としてはせっかく現役で上流やられている方なので、実務であった事をコラム的にもっと聞きたかったかもしれません。</v>
      </c>
      <c r="P32" s="19">
        <f t="shared" si="0"/>
        <v>45904</v>
      </c>
    </row>
    <row r="33" spans="1:16" ht="13.2" x14ac:dyDescent="0.25">
      <c r="A33" s="18">
        <v>45908.372710081021</v>
      </c>
      <c r="B33" s="8" t="str">
        <v>023007</v>
      </c>
      <c r="C33" s="8" t="str">
        <v>松永圭悟</v>
      </c>
      <c r="D33" s="8" t="str">
        <v>フロントエンドエンジニア実践研修(React) 中級編</v>
      </c>
      <c r="E33" s="8" t="str">
        <v>松永 圭悟 (フロントエンドエンジニア実践研修(React) 初級編、中級編担当)</v>
      </c>
      <c r="F33" s="8">
        <v>3</v>
      </c>
      <c r="G33" s="8">
        <v>2</v>
      </c>
      <c r="H33" s="8">
        <v>3</v>
      </c>
      <c r="I33" s="8">
        <v>2</v>
      </c>
      <c r="J33" s="8">
        <v>2</v>
      </c>
      <c r="K33" s="8">
        <v>2</v>
      </c>
      <c r="L33" s="8">
        <v>1</v>
      </c>
      <c r="M33" s="8" t="str">
        <v>分からない</v>
      </c>
      <c r="N33" s="8" t="str">
        <v>提出物の締め切りタイミングを、より早めになるようにして頂ければと思います。
理由として、2日前の提出で確認がだいぶぎりぎりであった為です。</v>
      </c>
      <c r="O33" s="8">
        <v>0</v>
      </c>
      <c r="P33" s="19">
        <f t="shared" si="0"/>
        <v>45908</v>
      </c>
    </row>
    <row r="34" spans="1:16" ht="13.2" x14ac:dyDescent="0.25">
      <c r="A34" s="18">
        <v>45911.559174641203</v>
      </c>
      <c r="B34" s="8">
        <v>737</v>
      </c>
      <c r="C34" s="8" t="str">
        <v>上地航平</v>
      </c>
      <c r="D34" s="8" t="str">
        <v>クラウドインフラエンジニア実践研修(AWS) 中級編</v>
      </c>
      <c r="E34" s="8" t="str">
        <v>天野 盛介 (クラウドインフラエンジニア実践研修(AWS) 初級編、中級編担当)</v>
      </c>
      <c r="F34" s="8">
        <v>4</v>
      </c>
      <c r="G34" s="8">
        <v>4</v>
      </c>
      <c r="H34" s="8">
        <v>4</v>
      </c>
      <c r="I34" s="8">
        <v>4</v>
      </c>
      <c r="J34" s="8">
        <v>4</v>
      </c>
      <c r="K34" s="8">
        <v>4</v>
      </c>
      <c r="L34" s="8">
        <v>4</v>
      </c>
      <c r="M34" s="8" t="str">
        <v>ある</v>
      </c>
      <c r="N34" s="8" t="str">
        <v>普段の担当業務の中では、すでに構築されたECSアプリケーションの開発保守をしています。今回の研修を受講し進めていくなかで構成図ベースでしかECSを理解していませんでしたが、コンソールを触っていくなかで構成図のクラスタはここのコンソール画面とリンクしているといったイメージがついたので、今後の業務（トラシュー）に活用できると感じています。
あと手順書は詳細にかかれており、詰まるところも少なくクオリティは高かったなと思いました。
（一部上手くいかない箇所がありましたが、そのトラシュー含めて勉強になりました。）</v>
      </c>
      <c r="O34" s="8" t="str">
        <v>成果物に対する適切なレビューと今後の改修に向けたヒアリングをして頂いたのが良かったです。今後上級コースの新規開設や既存の初級・中級の拡充にも期待しています。</v>
      </c>
      <c r="P34" s="19">
        <f t="shared" si="0"/>
        <v>45911</v>
      </c>
    </row>
    <row r="35" spans="1:16" ht="13.2" x14ac:dyDescent="0.25">
      <c r="A35" s="18">
        <v>45911.570096539348</v>
      </c>
      <c r="B35" s="8">
        <v>1433</v>
      </c>
      <c r="C35" s="8" t="str">
        <v>黒岩勇哉</v>
      </c>
      <c r="D35" s="8" t="str">
        <v>クラウドインフラエンジニア実践研修(AWS) 中級編</v>
      </c>
      <c r="E35" s="8" t="str">
        <v>天野 盛介 (クラウドインフラエンジニア実践研修(AWS) 初級編、中級編担当)</v>
      </c>
      <c r="F35" s="8">
        <v>3</v>
      </c>
      <c r="G35" s="8">
        <v>4</v>
      </c>
      <c r="H35" s="8">
        <v>4</v>
      </c>
      <c r="I35" s="8">
        <v>4</v>
      </c>
      <c r="J35" s="8">
        <v>3</v>
      </c>
      <c r="K35" s="8">
        <v>3</v>
      </c>
      <c r="L35" s="8">
        <v>4</v>
      </c>
      <c r="M35" s="8" t="str">
        <v>ある</v>
      </c>
      <c r="N35" s="8">
        <v>0</v>
      </c>
      <c r="O35" s="8">
        <v>0</v>
      </c>
      <c r="P35" s="19">
        <f t="shared" si="0"/>
        <v>45911</v>
      </c>
    </row>
    <row r="36" spans="1:16" ht="13.2" x14ac:dyDescent="0.25">
      <c r="A36" s="18">
        <v>45911.719396736109</v>
      </c>
      <c r="B36" s="8">
        <v>1172</v>
      </c>
      <c r="C36" s="8" t="str">
        <v>秋山悠</v>
      </c>
      <c r="D36" s="8" t="str">
        <v>クラウドインフラエンジニア実践研修(AWS) 初級編</v>
      </c>
      <c r="E36" s="8" t="str">
        <v>天野 盛介 (クラウドインフラエンジニア実践研修(AWS) 初級編、中級編担当)</v>
      </c>
      <c r="F36" s="8">
        <v>3</v>
      </c>
      <c r="G36" s="8">
        <v>4</v>
      </c>
      <c r="H36" s="8">
        <v>4</v>
      </c>
      <c r="I36" s="8">
        <v>3</v>
      </c>
      <c r="J36" s="8">
        <v>3</v>
      </c>
      <c r="K36" s="8">
        <v>4</v>
      </c>
      <c r="L36" s="8">
        <v>4</v>
      </c>
      <c r="M36" s="8" t="str">
        <v>ある</v>
      </c>
      <c r="N36" s="8">
        <v>0</v>
      </c>
      <c r="O36" s="8">
        <v>0</v>
      </c>
      <c r="P36" s="19">
        <f t="shared" si="0"/>
        <v>45911</v>
      </c>
    </row>
    <row r="37" spans="1:16" ht="13.2" x14ac:dyDescent="0.25">
      <c r="A37" s="18">
        <v>45912.638316516204</v>
      </c>
      <c r="B37" s="8">
        <v>1307</v>
      </c>
      <c r="C37" s="8" t="str">
        <v>中澤勇志</v>
      </c>
      <c r="D37" s="8" t="str">
        <v>クラウドインフラエンジニア実践研修(GC) 中級編</v>
      </c>
      <c r="E37" s="8" t="str">
        <v>野川 錦策 (クラウドインフラエンジニア実践研修(GC) 初級編、中級編担当)</v>
      </c>
      <c r="F37" s="8">
        <v>4</v>
      </c>
      <c r="G37" s="8">
        <v>4</v>
      </c>
      <c r="H37" s="8">
        <v>3</v>
      </c>
      <c r="I37" s="8">
        <v>3</v>
      </c>
      <c r="J37" s="8">
        <v>3</v>
      </c>
      <c r="K37" s="8">
        <v>3</v>
      </c>
      <c r="L37" s="8">
        <v>3</v>
      </c>
      <c r="M37" s="8" t="str">
        <v>ある</v>
      </c>
      <c r="N37" s="8">
        <v>0</v>
      </c>
      <c r="O37" s="8">
        <v>0</v>
      </c>
      <c r="P37" s="19">
        <f t="shared" si="0"/>
        <v>45912</v>
      </c>
    </row>
    <row r="38" spans="1:16" ht="13.2" x14ac:dyDescent="0.25">
      <c r="A38" s="18">
        <v>45912.659924988431</v>
      </c>
      <c r="B38" s="8" t="str">
        <v>01124</v>
      </c>
      <c r="C38" s="8" t="str">
        <v>寺田 侃生</v>
      </c>
      <c r="D38" s="8" t="str">
        <v>クラウドインフラエンジニア実践研修(GC) 中級編</v>
      </c>
      <c r="E38" s="8" t="str">
        <v>野川 錦策 (クラウドインフラエンジニア実践研修(GC) 初級編、中級編担当)</v>
      </c>
      <c r="F38" s="8">
        <v>4</v>
      </c>
      <c r="G38" s="8">
        <v>4</v>
      </c>
      <c r="H38" s="8">
        <v>4</v>
      </c>
      <c r="I38" s="8">
        <v>3</v>
      </c>
      <c r="J38" s="8">
        <v>4</v>
      </c>
      <c r="K38" s="8">
        <v>4</v>
      </c>
      <c r="L38" s="8">
        <v>4</v>
      </c>
      <c r="M38" s="8" t="str">
        <v>ある</v>
      </c>
      <c r="N38" s="8" t="str">
        <v>難易度は高いと感じたが達成感を得られてよかった</v>
      </c>
      <c r="O38" s="8" t="str">
        <v>特にありません</v>
      </c>
      <c r="P38" s="19">
        <f t="shared" si="0"/>
        <v>45912</v>
      </c>
    </row>
    <row r="39" spans="1:16" ht="13.2" hidden="1" x14ac:dyDescent="0.25">
      <c r="A39" s="18">
        <v>45912.738908900465</v>
      </c>
      <c r="B39" s="8">
        <v>150</v>
      </c>
      <c r="C39" s="8" t="str">
        <v>上地佑弥</v>
      </c>
      <c r="D39" s="8" t="str">
        <v>プロジェクトマネージャー実践研修</v>
      </c>
      <c r="E39" s="8" t="str">
        <v>永谷 裕子 (プロジェクトマネージャー実践研修担当)</v>
      </c>
      <c r="F39" s="8">
        <v>4</v>
      </c>
      <c r="G39" s="8">
        <v>4</v>
      </c>
      <c r="H39" s="8">
        <v>4</v>
      </c>
      <c r="I39" s="8">
        <v>4</v>
      </c>
      <c r="J39" s="8">
        <v>4</v>
      </c>
      <c r="K39" s="8">
        <v>4</v>
      </c>
      <c r="L39" s="8">
        <v>4</v>
      </c>
      <c r="M39" s="8" t="str">
        <v>ある</v>
      </c>
      <c r="N39" s="8">
        <v>0</v>
      </c>
      <c r="O39" s="8">
        <v>0</v>
      </c>
      <c r="P39" s="19">
        <f t="shared" si="0"/>
        <v>45912</v>
      </c>
    </row>
    <row r="40" spans="1:16" ht="13.2" hidden="1" x14ac:dyDescent="0.25">
      <c r="A40" s="18">
        <v>45912.738950601852</v>
      </c>
      <c r="B40" s="8">
        <v>742</v>
      </c>
      <c r="C40" s="8" t="str">
        <v>櫻田博之</v>
      </c>
      <c r="D40" s="8" t="str">
        <v>プロジェクトマネージャー実践研修</v>
      </c>
      <c r="E40" s="8" t="str">
        <v>永谷 裕子 (プロジェクトマネージャー実践研修担当)</v>
      </c>
      <c r="F40" s="8">
        <v>4</v>
      </c>
      <c r="G40" s="8">
        <v>4</v>
      </c>
      <c r="H40" s="8">
        <v>4</v>
      </c>
      <c r="I40" s="8">
        <v>4</v>
      </c>
      <c r="J40" s="8">
        <v>4</v>
      </c>
      <c r="K40" s="8">
        <v>4</v>
      </c>
      <c r="L40" s="8">
        <v>4</v>
      </c>
      <c r="M40" s="8" t="str">
        <v>ある</v>
      </c>
      <c r="N40" s="8">
        <v>0</v>
      </c>
      <c r="O40" s="8">
        <v>0</v>
      </c>
      <c r="P40" s="19">
        <f t="shared" si="0"/>
        <v>45912</v>
      </c>
    </row>
    <row r="41" spans="1:16" ht="13.2" hidden="1" x14ac:dyDescent="0.25">
      <c r="A41" s="18">
        <v>45912.739104675929</v>
      </c>
      <c r="B41" s="8">
        <v>790</v>
      </c>
      <c r="C41" s="8" t="str">
        <v>濱村綾</v>
      </c>
      <c r="D41" s="8" t="str">
        <v>プロジェクトマネージャー実践研修</v>
      </c>
      <c r="E41" s="8" t="str">
        <v>永谷 裕子 (プロジェクトマネージャー実践研修担当)</v>
      </c>
      <c r="F41" s="8">
        <v>4</v>
      </c>
      <c r="G41" s="8">
        <v>4</v>
      </c>
      <c r="H41" s="8">
        <v>4</v>
      </c>
      <c r="I41" s="8">
        <v>4</v>
      </c>
      <c r="J41" s="8">
        <v>4</v>
      </c>
      <c r="K41" s="8">
        <v>4</v>
      </c>
      <c r="L41" s="8">
        <v>4</v>
      </c>
      <c r="M41" s="8" t="str">
        <v>ある</v>
      </c>
      <c r="N41" s="8">
        <v>0</v>
      </c>
      <c r="O41" s="8">
        <v>0</v>
      </c>
      <c r="P41" s="19">
        <f t="shared" si="0"/>
        <v>45912</v>
      </c>
    </row>
    <row r="42" spans="1:16" ht="13.2" hidden="1" x14ac:dyDescent="0.25">
      <c r="A42" s="18">
        <v>45912.73918394676</v>
      </c>
      <c r="B42" s="8">
        <v>1364</v>
      </c>
      <c r="C42" s="8" t="str">
        <v>仲地　大樹</v>
      </c>
      <c r="D42" s="8" t="str">
        <v>プロジェクトマネージャー実践研修</v>
      </c>
      <c r="E42" s="8" t="str">
        <v>永谷 裕子 (プロジェクトマネージャー実践研修担当)</v>
      </c>
      <c r="F42" s="8">
        <v>4</v>
      </c>
      <c r="G42" s="8">
        <v>3</v>
      </c>
      <c r="H42" s="8">
        <v>4</v>
      </c>
      <c r="I42" s="8">
        <v>4</v>
      </c>
      <c r="J42" s="8">
        <v>3</v>
      </c>
      <c r="K42" s="8">
        <v>4</v>
      </c>
      <c r="L42" s="8">
        <v>4</v>
      </c>
      <c r="M42" s="8" t="str">
        <v>ある</v>
      </c>
      <c r="N42" s="8">
        <v>0</v>
      </c>
      <c r="O42" s="8">
        <v>0</v>
      </c>
      <c r="P42" s="19">
        <f t="shared" si="0"/>
        <v>45912</v>
      </c>
    </row>
    <row r="43" spans="1:16" ht="13.2" hidden="1" x14ac:dyDescent="0.25">
      <c r="A43" s="18">
        <v>45912.739283043979</v>
      </c>
      <c r="B43" s="8">
        <v>1306</v>
      </c>
      <c r="C43" s="8" t="str">
        <v>鹿嶋未郷</v>
      </c>
      <c r="D43" s="8" t="str">
        <v>プロジェクトマネージャー実践研修</v>
      </c>
      <c r="E43" s="8" t="str">
        <v>永谷 裕子 (プロジェクトマネージャー実践研修担当)</v>
      </c>
      <c r="F43" s="8">
        <v>4</v>
      </c>
      <c r="G43" s="8">
        <v>4</v>
      </c>
      <c r="H43" s="8">
        <v>4</v>
      </c>
      <c r="I43" s="8">
        <v>2</v>
      </c>
      <c r="J43" s="8">
        <v>3</v>
      </c>
      <c r="K43" s="8">
        <v>4</v>
      </c>
      <c r="L43" s="8">
        <v>4</v>
      </c>
      <c r="M43" s="8" t="str">
        <v>ある</v>
      </c>
      <c r="N43" s="8" t="str">
        <v>もう少し長めに時間とっていただければ満足です</v>
      </c>
      <c r="O43" s="8">
        <v>0</v>
      </c>
      <c r="P43" s="19">
        <f t="shared" si="0"/>
        <v>45912</v>
      </c>
    </row>
    <row r="44" spans="1:16" ht="13.2" hidden="1" x14ac:dyDescent="0.25">
      <c r="A44" s="18">
        <v>45912.739412152776</v>
      </c>
      <c r="B44" s="8">
        <v>952</v>
      </c>
      <c r="C44" s="8" t="str">
        <v>満村雄二</v>
      </c>
      <c r="D44" s="8" t="str">
        <v>プロジェクトマネージャー実践研修</v>
      </c>
      <c r="E44" s="8" t="str">
        <v>永谷 裕子 (プロジェクトマネージャー実践研修担当)</v>
      </c>
      <c r="F44" s="8">
        <v>4</v>
      </c>
      <c r="G44" s="8">
        <v>3</v>
      </c>
      <c r="H44" s="8">
        <v>4</v>
      </c>
      <c r="I44" s="8">
        <v>4</v>
      </c>
      <c r="J44" s="8">
        <v>4</v>
      </c>
      <c r="K44" s="8">
        <v>4</v>
      </c>
      <c r="L44" s="8">
        <v>4</v>
      </c>
      <c r="M44" s="8" t="str">
        <v>ある</v>
      </c>
      <c r="N44" s="8" t="str">
        <v>実戦形式も多く楽しむ事ができました。
ありがとうございました。</v>
      </c>
      <c r="O44" s="8" t="str">
        <v>外資経験のあるような方でとてもユニークな方でした</v>
      </c>
      <c r="P44" s="19">
        <f t="shared" si="0"/>
        <v>45912</v>
      </c>
    </row>
    <row r="45" spans="1:16" ht="13.2" hidden="1" x14ac:dyDescent="0.25">
      <c r="A45" s="18">
        <v>45912.73944524306</v>
      </c>
      <c r="B45" s="8">
        <v>1328</v>
      </c>
      <c r="C45" s="8" t="str">
        <v>山本豪</v>
      </c>
      <c r="D45" s="8" t="str">
        <v>プロジェクトマネージャー実践研修</v>
      </c>
      <c r="E45" s="8" t="str">
        <v>永谷 裕子 (プロジェクトマネージャー実践研修担当)</v>
      </c>
      <c r="F45" s="8">
        <v>4</v>
      </c>
      <c r="G45" s="8">
        <v>4</v>
      </c>
      <c r="H45" s="8">
        <v>4</v>
      </c>
      <c r="I45" s="8">
        <v>3</v>
      </c>
      <c r="J45" s="8">
        <v>3</v>
      </c>
      <c r="K45" s="8">
        <v>4</v>
      </c>
      <c r="L45" s="8">
        <v>4</v>
      </c>
      <c r="M45" s="8" t="str">
        <v>ある</v>
      </c>
      <c r="N45" s="8">
        <v>0</v>
      </c>
      <c r="O45" s="8">
        <v>0</v>
      </c>
      <c r="P45" s="19">
        <f t="shared" si="0"/>
        <v>45912</v>
      </c>
    </row>
    <row r="46" spans="1:16" ht="13.2" hidden="1" x14ac:dyDescent="0.25">
      <c r="A46" s="18">
        <v>45912.739532060186</v>
      </c>
      <c r="B46" s="8">
        <v>864</v>
      </c>
      <c r="C46" s="8" t="str">
        <v>中地 悠斗</v>
      </c>
      <c r="D46" s="8" t="str">
        <v>プロジェクトマネージャー実践研修</v>
      </c>
      <c r="E46" s="8" t="str">
        <v>永谷 裕子 (プロジェクトマネージャー実践研修担当)</v>
      </c>
      <c r="F46" s="8">
        <v>3</v>
      </c>
      <c r="G46" s="8">
        <v>4</v>
      </c>
      <c r="H46" s="8">
        <v>4</v>
      </c>
      <c r="I46" s="8">
        <v>4</v>
      </c>
      <c r="J46" s="8">
        <v>3</v>
      </c>
      <c r="K46" s="8">
        <v>3</v>
      </c>
      <c r="L46" s="8">
        <v>4</v>
      </c>
      <c r="M46" s="8" t="str">
        <v>ある</v>
      </c>
      <c r="N46" s="8" t="str">
        <v>やはりPCが使えないのが厳しかった。</v>
      </c>
      <c r="O46" s="8">
        <v>0</v>
      </c>
      <c r="P46" s="19">
        <f t="shared" si="0"/>
        <v>45912</v>
      </c>
    </row>
    <row r="47" spans="1:16" ht="13.2" hidden="1" x14ac:dyDescent="0.25">
      <c r="A47" s="18">
        <v>45912.739539895832</v>
      </c>
      <c r="B47" s="8">
        <v>1178</v>
      </c>
      <c r="C47" s="8" t="str">
        <v>青木勝則</v>
      </c>
      <c r="D47" s="8" t="str">
        <v>プロジェクトマネージャー実践研修</v>
      </c>
      <c r="E47" s="8" t="str">
        <v>永谷 裕子 (プロジェクトマネージャー実践研修担当)</v>
      </c>
      <c r="F47" s="8">
        <v>4</v>
      </c>
      <c r="G47" s="8">
        <v>4</v>
      </c>
      <c r="H47" s="8">
        <v>4</v>
      </c>
      <c r="I47" s="8">
        <v>4</v>
      </c>
      <c r="J47" s="8">
        <v>4</v>
      </c>
      <c r="K47" s="8">
        <v>4</v>
      </c>
      <c r="L47" s="8">
        <v>4</v>
      </c>
      <c r="M47" s="8" t="str">
        <v>ある</v>
      </c>
      <c r="N47" s="8" t="str">
        <v>少し端折ったところもあったので3日ぐらいあるとなお良いかかともいました</v>
      </c>
      <c r="O47" s="8" t="str">
        <v>勉強になりました！</v>
      </c>
      <c r="P47" s="19">
        <f t="shared" si="0"/>
        <v>45912</v>
      </c>
    </row>
    <row r="48" spans="1:16" ht="13.2" hidden="1" x14ac:dyDescent="0.25">
      <c r="A48" s="18">
        <v>45912.739705266205</v>
      </c>
      <c r="B48" s="8" t="str">
        <v>001279</v>
      </c>
      <c r="C48" s="8" t="str">
        <v>秋野光史</v>
      </c>
      <c r="D48" s="8" t="str">
        <v>プロジェクトマネージャー実践研修</v>
      </c>
      <c r="E48" s="8" t="str">
        <v>永谷 裕子 (プロジェクトマネージャー実践研修担当)</v>
      </c>
      <c r="F48" s="8">
        <v>4</v>
      </c>
      <c r="G48" s="8">
        <v>4</v>
      </c>
      <c r="H48" s="8">
        <v>4</v>
      </c>
      <c r="I48" s="8">
        <v>4</v>
      </c>
      <c r="J48" s="8">
        <v>4</v>
      </c>
      <c r="K48" s="8">
        <v>4</v>
      </c>
      <c r="L48" s="8">
        <v>4</v>
      </c>
      <c r="M48" s="8" t="str">
        <v>ある</v>
      </c>
      <c r="N48" s="8">
        <v>0</v>
      </c>
      <c r="O48" s="8">
        <v>0</v>
      </c>
      <c r="P48" s="19">
        <f t="shared" si="0"/>
        <v>45912</v>
      </c>
    </row>
    <row r="49" spans="1:16" ht="13.2" hidden="1" x14ac:dyDescent="0.25">
      <c r="A49" s="18">
        <v>45912.739759155098</v>
      </c>
      <c r="B49" s="8">
        <v>700793</v>
      </c>
      <c r="C49" s="8" t="str">
        <v>畠山大治</v>
      </c>
      <c r="D49" s="8" t="str">
        <v>プロジェクトマネージャー実践研修</v>
      </c>
      <c r="E49" s="8" t="str">
        <v>永谷 裕子 (プロジェクトマネージャー実践研修担当)</v>
      </c>
      <c r="F49" s="8">
        <v>4</v>
      </c>
      <c r="G49" s="8">
        <v>4</v>
      </c>
      <c r="H49" s="8">
        <v>4</v>
      </c>
      <c r="I49" s="8">
        <v>4</v>
      </c>
      <c r="J49" s="8">
        <v>4</v>
      </c>
      <c r="K49" s="8">
        <v>4</v>
      </c>
      <c r="L49" s="8">
        <v>4</v>
      </c>
      <c r="M49" s="8" t="str">
        <v>ある</v>
      </c>
      <c r="N49" s="8">
        <v>0</v>
      </c>
      <c r="O49" s="8">
        <v>0</v>
      </c>
      <c r="P49" s="19">
        <f t="shared" si="0"/>
        <v>45912</v>
      </c>
    </row>
    <row r="50" spans="1:16" ht="13.2" hidden="1" x14ac:dyDescent="0.25">
      <c r="A50" s="18">
        <v>45912.73991837963</v>
      </c>
      <c r="B50" s="8">
        <v>935</v>
      </c>
      <c r="C50" s="8" t="str">
        <v>吉田優作</v>
      </c>
      <c r="D50" s="8" t="str">
        <v>プロジェクトマネージャー実践研修</v>
      </c>
      <c r="E50" s="8" t="str">
        <v>永谷 裕子 (プロジェクトマネージャー実践研修担当)</v>
      </c>
      <c r="F50" s="8">
        <v>4</v>
      </c>
      <c r="G50" s="8">
        <v>4</v>
      </c>
      <c r="H50" s="8">
        <v>4</v>
      </c>
      <c r="I50" s="8">
        <v>4</v>
      </c>
      <c r="J50" s="8">
        <v>4</v>
      </c>
      <c r="K50" s="8">
        <v>4</v>
      </c>
      <c r="L50" s="8">
        <v>4</v>
      </c>
      <c r="M50" s="8" t="str">
        <v>ある</v>
      </c>
      <c r="N50" s="8" t="str">
        <v>業務につなげれる内容が多く非常に参考になりました</v>
      </c>
      <c r="O50" s="8">
        <v>0</v>
      </c>
      <c r="P50" s="19">
        <f t="shared" si="0"/>
        <v>45912</v>
      </c>
    </row>
    <row r="51" spans="1:16" ht="13.2" hidden="1" x14ac:dyDescent="0.25">
      <c r="A51" s="18">
        <v>45912.741555069442</v>
      </c>
      <c r="B51" s="8">
        <v>535</v>
      </c>
      <c r="C51" s="8" t="str">
        <v>田原慶</v>
      </c>
      <c r="D51" s="8" t="str">
        <v>プロジェクトマネージャー実践研修</v>
      </c>
      <c r="E51" s="8" t="str">
        <v>永谷 裕子 (プロジェクトマネージャー実践研修担当)</v>
      </c>
      <c r="F51" s="8">
        <v>4</v>
      </c>
      <c r="G51" s="8">
        <v>3</v>
      </c>
      <c r="H51" s="8">
        <v>3</v>
      </c>
      <c r="I51" s="8">
        <v>3</v>
      </c>
      <c r="J51" s="8">
        <v>3</v>
      </c>
      <c r="K51" s="8">
        <v>3</v>
      </c>
      <c r="L51" s="8">
        <v>4</v>
      </c>
      <c r="M51" s="8" t="str">
        <v>ある</v>
      </c>
      <c r="N51" s="8" t="str">
        <v>現代のプロジェクトに活かせるのか？が課題かと思いました。</v>
      </c>
      <c r="O51" s="8" t="str">
        <v>アメリカと日本を比較した話がとても良かったです。</v>
      </c>
      <c r="P51" s="19">
        <f t="shared" si="0"/>
        <v>45912</v>
      </c>
    </row>
    <row r="52" spans="1:16" ht="13.2" x14ac:dyDescent="0.25">
      <c r="A52" s="18">
        <v>45912.761377569448</v>
      </c>
      <c r="B52" s="8" t="str">
        <v>001258</v>
      </c>
      <c r="C52" s="8" t="str">
        <v>篠藤　誉之</v>
      </c>
      <c r="D52" s="8" t="str">
        <v>クラウドインフラエンジニア実践研修(GC) 初級編</v>
      </c>
      <c r="E52" s="8" t="str">
        <v>野川 錦策 (クラウドインフラエンジニア実践研修(GC) 初級編、中級編担当)</v>
      </c>
      <c r="F52" s="8">
        <v>3</v>
      </c>
      <c r="G52" s="8">
        <v>3</v>
      </c>
      <c r="H52" s="8">
        <v>3</v>
      </c>
      <c r="I52" s="8">
        <v>2</v>
      </c>
      <c r="J52" s="8">
        <v>2</v>
      </c>
      <c r="K52" s="8">
        <v>3</v>
      </c>
      <c r="L52" s="8">
        <v>4</v>
      </c>
      <c r="M52" s="8" t="str">
        <v>分からない</v>
      </c>
      <c r="N52" s="8" t="str">
        <v>課題の量や学習に費やす時間が多く必要なため、スキルアップ研修を複数こなしていくのは難しいかと思いました。難易度は問題ありませんでした。とても為になりました</v>
      </c>
      <c r="O52" s="8">
        <v>0</v>
      </c>
      <c r="P52" s="19">
        <f t="shared" si="0"/>
        <v>45912</v>
      </c>
    </row>
    <row r="53" spans="1:16" ht="13.2" hidden="1" x14ac:dyDescent="0.25">
      <c r="A53" s="18">
        <v>45912.775011817124</v>
      </c>
      <c r="B53" s="8" t="str">
        <v>001326</v>
      </c>
      <c r="C53" s="8" t="str">
        <v>吉田 優太</v>
      </c>
      <c r="D53" s="8" t="str">
        <v>プロジェクトマネージャー実践研修</v>
      </c>
      <c r="E53" s="8" t="str">
        <v>永谷 裕子 (プロジェクトマネージャー実践研修担当)</v>
      </c>
      <c r="F53" s="8">
        <v>4</v>
      </c>
      <c r="G53" s="8">
        <v>4</v>
      </c>
      <c r="H53" s="8">
        <v>4</v>
      </c>
      <c r="I53" s="8">
        <v>4</v>
      </c>
      <c r="J53" s="8">
        <v>4</v>
      </c>
      <c r="K53" s="8">
        <v>4</v>
      </c>
      <c r="L53" s="8">
        <v>4</v>
      </c>
      <c r="M53" s="8" t="str">
        <v>ある</v>
      </c>
      <c r="N53" s="8" t="str">
        <v>とても有意義な研修だったと思います。
最後に他の方も仰っていましたがプロジェクトマネジメントを体系的に学ぶ機会は中々ないので、貴重な機会でした。
特に「プロジェクトマネジメントの『マネジメント』とは『ただ管理する』という意味でなく『(困難な状況で)なんとか対処する』という意味である」という言葉は目から鱗でした。
内容についてもAIの登場を鑑みたPMが果たすべき役割の変化など、昨今の情勢を考慮した内容となっており、大変参考になるものでした。
ワークについてもこちらは手書きでも無理のない内容になっていて、より実践的だったと思います。(WBSの作成について大変タメになりました。)
総じて受けてよかったと思える研修でした…ありがとうございました。</v>
      </c>
      <c r="O53" s="8" t="str">
        <v>豊富な経験とご実力を伺わせる手腕が研修の内容や進行のやり方に現れていたと思います。
永谷先生によれば本来四日間の研修を圧縮した内容になっているとの事でしたが、内容の選定がプロジェクトを失敗させる大きな要因(計画•コミュニケーション)にフォーカスしており、初学者レベルの私からしても納得かつ満足できる研修内容となっていました。
現役は退かれている？ようでしたが、AIがプロジェクトマネジメントの現場に及ぼす影響などの考察も話されており、知識を更新し続けている姿勢など研修の内容以外でも見習うべきと感じた点が多々ありました。
他にもプロジェクトマネジメントの現場で実際にご経験された事をコラム的にお話されていましたが、聞いていて参考になる所もあり、面白かったです。
前職まで教科書の内容をなぞるようなレベルの研修しか受けていなかったため、確固とした実績•実力のある講師の講義とはこういうものなのか、と感嘆しました。
弊社のPM研修に次回があるのであれば、次も永谷先生に講師をお願いすると良いのではないかなと思いました。</v>
      </c>
      <c r="P53" s="19">
        <f t="shared" si="0"/>
        <v>45912</v>
      </c>
    </row>
    <row r="54" spans="1:16" ht="13.2" x14ac:dyDescent="0.25">
      <c r="A54" s="18">
        <v>45912.813139814811</v>
      </c>
      <c r="B54" s="8">
        <v>804</v>
      </c>
      <c r="C54" s="8" t="str">
        <v>日下 憧</v>
      </c>
      <c r="D54" s="8" t="str">
        <v>クラウドインフラエンジニア実践研修(GC) 初級編</v>
      </c>
      <c r="E54" s="8" t="str">
        <v>野川 錦策 (クラウドインフラエンジニア実践研修(GC) 初級編、中級編担当)</v>
      </c>
      <c r="F54" s="8">
        <v>3</v>
      </c>
      <c r="G54" s="8">
        <v>2</v>
      </c>
      <c r="H54" s="8">
        <v>3</v>
      </c>
      <c r="I54" s="8">
        <v>2</v>
      </c>
      <c r="J54" s="8">
        <v>2</v>
      </c>
      <c r="K54" s="8">
        <v>4</v>
      </c>
      <c r="L54" s="8">
        <v>4</v>
      </c>
      <c r="M54" s="8" t="str">
        <v>分からない</v>
      </c>
      <c r="N54" s="8" t="str">
        <v xml:space="preserve">研修内容については難易度の高い部分もありましたが、その分非常に学びが多く、自身の知識や理解を深める大変良い機会となりました。  </v>
      </c>
      <c r="O54" s="8" t="str">
        <v xml:space="preserve">講師の方には、フィードバックや質問に対して常に丁寧かつ分かりやすくご対応いただき、大変感謝しております。  
受講者の理解度に合わせて詳しく説明してくださったおかげで、内容をより深く理解することができました。  
</v>
      </c>
      <c r="P54" s="19">
        <f t="shared" si="0"/>
        <v>45912</v>
      </c>
    </row>
    <row r="55" spans="1:16" ht="13.2" x14ac:dyDescent="0.25">
      <c r="A55" s="18">
        <v>45917.412599050927</v>
      </c>
      <c r="B55" s="8">
        <v>974</v>
      </c>
      <c r="C55" s="8" t="str">
        <v>久志野裕矢</v>
      </c>
      <c r="D55" s="8" t="str">
        <v>クラウドインフラエンジニア実践研修(GC) 初級編</v>
      </c>
      <c r="E55" s="8" t="str">
        <v>野川 錦策 (クラウドインフラエンジニア実践研修(GC) 初級編、中級編担当)</v>
      </c>
      <c r="F55" s="8">
        <v>3</v>
      </c>
      <c r="G55" s="8">
        <v>2</v>
      </c>
      <c r="H55" s="8">
        <v>2</v>
      </c>
      <c r="I55" s="8">
        <v>1</v>
      </c>
      <c r="J55" s="8">
        <v>1</v>
      </c>
      <c r="K55" s="8">
        <v>2</v>
      </c>
      <c r="L55" s="8">
        <v>3</v>
      </c>
      <c r="M55" s="8" t="str">
        <v>分からない</v>
      </c>
      <c r="N55" s="8" t="str">
        <v>初級編の内容はNWとPSCをメインで課題を作成されていると伺いました。
そのため、現時点での業務で初級編のユースケースはないと考えております。
LBやPSCの理解深めるためであれば、もう少し簡素な構成でも良いかと思いました。</v>
      </c>
      <c r="O55" s="8" t="str">
        <v>特になし</v>
      </c>
      <c r="P55" s="19">
        <f t="shared" si="0"/>
        <v>45917</v>
      </c>
    </row>
    <row r="56" spans="1:16" ht="13.2" x14ac:dyDescent="0.25">
      <c r="A56" s="18">
        <v>45919.416432916667</v>
      </c>
      <c r="B56" s="8" t="str">
        <v>001270</v>
      </c>
      <c r="C56" s="8" t="str">
        <v>山岸 一範</v>
      </c>
      <c r="D56" s="8" t="str">
        <v>フロントエンドエンジニア実践研修(Vue.js) 中級編</v>
      </c>
      <c r="E56" s="8" t="str">
        <v>日野 龍樹 (フロントエンドエンジニア実践研修(Vue.js) 初級編、中級編担当)</v>
      </c>
      <c r="F56" s="8">
        <v>2</v>
      </c>
      <c r="G56" s="8">
        <v>4</v>
      </c>
      <c r="H56" s="8">
        <v>1</v>
      </c>
      <c r="I56" s="8">
        <v>3</v>
      </c>
      <c r="J56" s="8">
        <v>3</v>
      </c>
      <c r="K56" s="8">
        <v>1</v>
      </c>
      <c r="L56" s="8">
        <v>2</v>
      </c>
      <c r="M56" s="8" t="str">
        <v>ある</v>
      </c>
      <c r="N56" s="8" t="str">
        <v>実践研修中級編ということでしたが、内容的には初級後編レベルな印象です。
個人的にはもう少し難易度の高い実践研修を求めていました。
backendはjsonファイルの読み書きで行うという指定でしたが、DB立てた方が実務に活かせると思います。
ただ、クイズのjsonの形式をアプリにとって最適にするにはどうしたらいいか試行錯誤する時間はとても楽しかったです。</v>
      </c>
      <c r="O56" s="8" t="str">
        <v>中級編のレビューをするにはレベルが足りないのではないかと思います。
Nuxtを使った実務経験はないとおっしゃっていたので、実務経験のある講師とディレクトリ構成のベストプラクティスや実装時の勘所についてもっと議論したかったです。</v>
      </c>
      <c r="P56" s="19">
        <f t="shared" si="0"/>
        <v>45919</v>
      </c>
    </row>
    <row r="57" spans="1:16" ht="13.2" x14ac:dyDescent="0.25">
      <c r="A57" s="18">
        <v>45919.429908784718</v>
      </c>
      <c r="B57" s="8">
        <v>1328</v>
      </c>
      <c r="C57" s="8" t="str">
        <v>山本 豪</v>
      </c>
      <c r="D57" s="8" t="str">
        <v>フロントエンドエンジニア実践研修(Vue.js) 初級編</v>
      </c>
      <c r="E57" s="8" t="str">
        <v>日野 龍樹 (フロントエンドエンジニア実践研修(Vue.js) 初級編、中級編担当)</v>
      </c>
      <c r="F57" s="8">
        <v>3</v>
      </c>
      <c r="G57" s="8">
        <v>3</v>
      </c>
      <c r="H57" s="8">
        <v>4</v>
      </c>
      <c r="I57" s="8">
        <v>4</v>
      </c>
      <c r="J57" s="8">
        <v>4</v>
      </c>
      <c r="K57" s="8">
        <v>4</v>
      </c>
      <c r="L57" s="8">
        <v>4</v>
      </c>
      <c r="M57" s="8" t="str">
        <v>ある</v>
      </c>
      <c r="N57" s="8" t="str">
        <v>フロントエンジニアの学習領域はかなり広いと感じました。
学習時間がどうしても不足しがちでしたので学習期間を長く取るか、集中的に長時間学習できるように時間の確保が大事だと思いました。</v>
      </c>
      <c r="O57" s="8" t="str">
        <v>あたりの柔らかい話しやすい印象で会話がし易かったです。
また、実務の内容についてもソースを丁寧に読んでいただき、適切なフィードバックをいただけたため、今後のスキルアップに繋げられると思いました。</v>
      </c>
      <c r="P57" s="19">
        <f t="shared" si="0"/>
        <v>45919</v>
      </c>
    </row>
    <row r="58" spans="1:16" ht="13.2" x14ac:dyDescent="0.25">
      <c r="A58" s="18">
        <v>45922.492284108797</v>
      </c>
      <c r="B58" s="8">
        <v>724</v>
      </c>
      <c r="C58" s="8" t="str">
        <v>福富道德</v>
      </c>
      <c r="D58" s="8" t="str">
        <v>スマホアプリエンジニア実践研修 中級編</v>
      </c>
      <c r="E58" s="8" t="str">
        <v>清水 裕太 (スマホアプリエンジニア実践研修 初級編、中級編担当)</v>
      </c>
      <c r="F58" s="8">
        <v>4</v>
      </c>
      <c r="G58" s="8">
        <v>4</v>
      </c>
      <c r="H58" s="8">
        <v>4</v>
      </c>
      <c r="I58" s="8">
        <v>4</v>
      </c>
      <c r="J58" s="8">
        <v>4</v>
      </c>
      <c r="K58" s="8">
        <v>4</v>
      </c>
      <c r="L58" s="8">
        <v>4</v>
      </c>
      <c r="M58" s="8" t="str">
        <v>ある</v>
      </c>
      <c r="N58" s="8" t="str">
        <v>特にありません。</v>
      </c>
      <c r="O58" s="8" t="str">
        <v>業務でも活用できそうなところを細かく指摘して頂き助かりました。</v>
      </c>
      <c r="P58" s="19">
        <f t="shared" si="0"/>
        <v>45922</v>
      </c>
    </row>
    <row r="59" spans="1:16" ht="13.2" x14ac:dyDescent="0.25">
      <c r="A59" s="18">
        <v>45922.635550752311</v>
      </c>
      <c r="B59" s="8">
        <v>1350</v>
      </c>
      <c r="C59" s="8" t="str">
        <v>齋藤大樹</v>
      </c>
      <c r="D59" s="8" t="str">
        <v>スマホアプリエンジニア実践研修 初級編</v>
      </c>
      <c r="E59" s="8" t="str">
        <v>清水 裕太 (スマホアプリエンジニア実践研修 初級編、中級編担当)</v>
      </c>
      <c r="F59" s="8">
        <v>4</v>
      </c>
      <c r="G59" s="8">
        <v>3</v>
      </c>
      <c r="H59" s="8">
        <v>4</v>
      </c>
      <c r="I59" s="8">
        <v>4</v>
      </c>
      <c r="J59" s="8">
        <v>3</v>
      </c>
      <c r="K59" s="8">
        <v>4</v>
      </c>
      <c r="L59" s="8">
        <v>4</v>
      </c>
      <c r="M59" s="8" t="str">
        <v>ある</v>
      </c>
      <c r="N59" s="8" t="str">
        <v>初心者には難易度が高く感じたが、提出物が提出できる頃には実務(flutterのアプリ開発をしているチーム）のコードがそれなりに読めるようになったと感じるので、とても良かったです</v>
      </c>
      <c r="O59" s="8" t="str">
        <v>端的にわかりやすくFBしてもらえたので良かったです</v>
      </c>
      <c r="P59" s="19">
        <f t="shared" si="0"/>
        <v>45922</v>
      </c>
    </row>
    <row r="60" spans="1:16" ht="13.2" x14ac:dyDescent="0.25">
      <c r="A60" s="18">
        <v>45924.491365335649</v>
      </c>
      <c r="B60" s="8" t="str">
        <v>001268</v>
      </c>
      <c r="C60" s="8" t="str">
        <v>木村 兼人</v>
      </c>
      <c r="D60" s="8" t="str">
        <v>フロントエンドエンジニア実践研修(React) 中級編</v>
      </c>
      <c r="E60" s="8" t="str">
        <v>松永 圭悟 (フロントエンドエンジニア実践研修(React) 初級編、中級編担当)</v>
      </c>
      <c r="F60" s="8">
        <v>4</v>
      </c>
      <c r="G60" s="8">
        <v>4</v>
      </c>
      <c r="H60" s="8">
        <v>4</v>
      </c>
      <c r="I60" s="8">
        <v>4</v>
      </c>
      <c r="J60" s="8">
        <v>4</v>
      </c>
      <c r="K60" s="8">
        <v>4</v>
      </c>
      <c r="L60" s="8">
        <v>4</v>
      </c>
      <c r="M60" s="8" t="str">
        <v>ある</v>
      </c>
      <c r="N60" s="8" t="str">
        <v>NextJsの基礎を身につけることができました、業務に活かせればと思います。</v>
      </c>
      <c r="O60" s="8" t="str">
        <v>ご対応ありがとうございました。</v>
      </c>
      <c r="P60" s="19">
        <f t="shared" si="0"/>
        <v>45924</v>
      </c>
    </row>
    <row r="61" spans="1:16" ht="13.2" x14ac:dyDescent="0.25">
      <c r="A61" s="18">
        <v>45924.712445046302</v>
      </c>
      <c r="B61" s="8">
        <v>561</v>
      </c>
      <c r="C61" s="8" t="str">
        <v>齋藤和久</v>
      </c>
      <c r="D61" s="8" t="str">
        <v>フロントエンドエンジニア実践研修(React) 初級編</v>
      </c>
      <c r="E61" s="8" t="str">
        <v>伊藤 健一 (フロントエンドエンジニア実践研修(React) 初級編担当)</v>
      </c>
      <c r="F61" s="8">
        <v>3</v>
      </c>
      <c r="G61" s="8">
        <v>3</v>
      </c>
      <c r="H61" s="8">
        <v>3</v>
      </c>
      <c r="I61" s="8">
        <v>3</v>
      </c>
      <c r="J61" s="8">
        <v>3</v>
      </c>
      <c r="K61" s="8">
        <v>3</v>
      </c>
      <c r="L61" s="8">
        <v>3</v>
      </c>
      <c r="M61" s="8" t="str">
        <v>ある</v>
      </c>
      <c r="N61" s="8" t="str">
        <v>教材のPDFにおいて、一部作っているものと整合性がとれない部分や説明が足りない箇所があったため、エンジニア初心者では初級編でもつまるところが多々あるのではと感じました。</v>
      </c>
      <c r="O61" s="8" t="str">
        <v>特にありません。</v>
      </c>
      <c r="P61" s="19">
        <f t="shared" si="0"/>
        <v>45924</v>
      </c>
    </row>
    <row r="62" spans="1:16" ht="13.2" x14ac:dyDescent="0.25">
      <c r="A62" s="18">
        <v>45924.756638101855</v>
      </c>
      <c r="B62" s="8">
        <v>1190</v>
      </c>
      <c r="C62" s="8" t="str">
        <v>小野花菜</v>
      </c>
      <c r="D62" s="8" t="str">
        <v>フロントエンドエンジニア実践研修(React) 初級編</v>
      </c>
      <c r="E62" s="8" t="str">
        <v>伊藤 健一 (フロントエンドエンジニア実践研修(React) 初級編担当)</v>
      </c>
      <c r="F62" s="8">
        <v>4</v>
      </c>
      <c r="G62" s="8">
        <v>4</v>
      </c>
      <c r="H62" s="8">
        <v>4</v>
      </c>
      <c r="I62" s="8">
        <v>4</v>
      </c>
      <c r="J62" s="8">
        <v>3</v>
      </c>
      <c r="K62" s="8">
        <v>4</v>
      </c>
      <c r="L62" s="8">
        <v>4</v>
      </c>
      <c r="M62" s="8" t="str">
        <v>ある</v>
      </c>
      <c r="N62" s="8" t="str">
        <v>一度JSで作ってからreactを導入するという順序踏んで学ぶことができたので、学習がしやすかったです。</v>
      </c>
      <c r="O62" s="8" t="str">
        <v>合否の結果や気になったことなど簡潔に伝えていただいたので、わかりやすかったです。</v>
      </c>
      <c r="P62" s="19">
        <f t="shared" si="0"/>
        <v>45924</v>
      </c>
    </row>
    <row r="63" spans="1:16" ht="13.2" x14ac:dyDescent="0.25">
      <c r="A63" s="18">
        <v>45925.656493854171</v>
      </c>
      <c r="B63" s="8">
        <v>1366</v>
      </c>
      <c r="C63" s="8" t="str">
        <v>毛利 彩乃</v>
      </c>
      <c r="D63" s="8" t="str">
        <v>クラウドインフラエンジニア実践研修(AWS) 中級編</v>
      </c>
      <c r="E63" s="8" t="str">
        <v>天野 盛介 (クラウドインフラエンジニア実践研修(AWS) 初級編、中級編担当)</v>
      </c>
      <c r="F63" s="8">
        <v>2</v>
      </c>
      <c r="G63" s="8">
        <v>3</v>
      </c>
      <c r="H63" s="8">
        <v>3</v>
      </c>
      <c r="I63" s="8">
        <v>4</v>
      </c>
      <c r="J63" s="8">
        <v>1</v>
      </c>
      <c r="K63" s="8">
        <v>2</v>
      </c>
      <c r="L63" s="8">
        <v>4</v>
      </c>
      <c r="M63" s="8" t="str">
        <v>ある</v>
      </c>
      <c r="N63" s="8" t="str">
        <v>【感想】
・触ったことのなかったリソースを構築することができてためになった
・「実践研修問題」のテキストが詳しかったため、「中級」と呼ぶにはテキストが易しかったように思います。
「要件が出ていて、それに対して設計・環境構築」を実施するような内容であると実務により生きる流れとなり、よりよいと感じた（ボリュームと難易度の兼ね合いは難しいので、現状が適切ということもあるのかもしれません……）
【要望】
・サブネット範囲の重複や手順書でのGitコマンドが不十分であった箇所など、一部不備が見受けられたため、問題・手順書のテストや精査をお願いしたいと感じた</v>
      </c>
      <c r="O63" s="8" t="str">
        <v>私がフローを理解していなかったために面談では提出物のチェックシートが提出できておらず申し訳ございませんでした。
終始話しやすい雰囲気でわからなかった部分の質問などもさせていただきました。
お時間をいただきありがとうございました。
「事前準備」でcloudformationスタックからデプロイしたEC2を一度「停止」するとCFnからEC2へのアクセスが通らなくなり「504エラー」となってしまう件についてご質問させていただき、お持ち帰りいただくこととなりました。
貴社側でも事象が再現されるかどうか・再現される場合は何が原因であったのか、後日でけっこうですので教えていただけますと幸いです。</v>
      </c>
      <c r="P63" s="19">
        <f t="shared" si="0"/>
        <v>45925</v>
      </c>
    </row>
    <row r="64" spans="1:16" ht="13.2" x14ac:dyDescent="0.25">
      <c r="A64" s="18">
        <v>45925.724113078701</v>
      </c>
      <c r="B64" s="8">
        <v>861</v>
      </c>
      <c r="C64" s="8" t="str">
        <v>大木祐太</v>
      </c>
      <c r="D64" s="8" t="str">
        <v>クラウドインフラエンジニア実践研修(AWS) 中級編</v>
      </c>
      <c r="E64" s="8" t="str">
        <v>天野 盛介 (クラウドインフラエンジニア実践研修(AWS) 初級編、中級編担当)</v>
      </c>
      <c r="F64" s="8">
        <v>4</v>
      </c>
      <c r="G64" s="8">
        <v>4</v>
      </c>
      <c r="H64" s="8">
        <v>4</v>
      </c>
      <c r="I64" s="8">
        <v>4</v>
      </c>
      <c r="J64" s="8">
        <v>3</v>
      </c>
      <c r="K64" s="8">
        <v>4</v>
      </c>
      <c r="L64" s="8">
        <v>4</v>
      </c>
      <c r="M64" s="8" t="str">
        <v>ある</v>
      </c>
      <c r="N64" s="8" t="str">
        <v>一部間違っているところがあったので、今後に向けてさらにブラッシュアップいただけると嬉しいです。</v>
      </c>
      <c r="O64" s="8" t="str">
        <v>丁寧にご対応いただきありがとうございました。</v>
      </c>
      <c r="P64" s="19">
        <f t="shared" si="0"/>
        <v>45925</v>
      </c>
    </row>
    <row r="65" spans="1:16" ht="13.2" x14ac:dyDescent="0.25">
      <c r="A65" s="18">
        <v>45925.738962835647</v>
      </c>
      <c r="B65" s="8">
        <v>1056</v>
      </c>
      <c r="C65" s="8" t="str">
        <v>山本修輔</v>
      </c>
      <c r="D65" s="8" t="str">
        <v>クラウドインフラエンジニア実践研修(AWS) 中級編</v>
      </c>
      <c r="E65" s="8" t="str">
        <v>天野 盛介 (クラウドインフラエンジニア実践研修(AWS) 初級編、中級編担当)</v>
      </c>
      <c r="F65" s="8">
        <v>4</v>
      </c>
      <c r="G65" s="8">
        <v>4</v>
      </c>
      <c r="H65" s="8">
        <v>4</v>
      </c>
      <c r="I65" s="8">
        <v>4</v>
      </c>
      <c r="J65" s="8">
        <v>4</v>
      </c>
      <c r="K65" s="8">
        <v>4</v>
      </c>
      <c r="L65" s="8">
        <v>4</v>
      </c>
      <c r="M65" s="8" t="str">
        <v>ある</v>
      </c>
      <c r="N65" s="8" t="str">
        <v>上級者編とかあれば、研修を受けてみたいと思った。</v>
      </c>
      <c r="O65" s="8" t="str">
        <v>特になし。</v>
      </c>
      <c r="P65" s="19">
        <f t="shared" si="0"/>
        <v>45925</v>
      </c>
    </row>
    <row r="66" spans="1:16" ht="13.2" x14ac:dyDescent="0.25">
      <c r="A66" s="18">
        <v>45925.755641099538</v>
      </c>
      <c r="B66" s="8">
        <v>1466</v>
      </c>
      <c r="C66" s="8" t="str">
        <v>村上雄紀</v>
      </c>
      <c r="D66" s="8" t="str">
        <v>クラウドインフラエンジニア実践研修(AWS) 中級編</v>
      </c>
      <c r="E66" s="8" t="str">
        <v>天野 盛介 (クラウドインフラエンジニア実践研修(AWS) 初級編、中級編担当)</v>
      </c>
      <c r="F66" s="8">
        <v>4</v>
      </c>
      <c r="G66" s="8">
        <v>3</v>
      </c>
      <c r="H66" s="8">
        <v>4</v>
      </c>
      <c r="I66" s="8">
        <v>3</v>
      </c>
      <c r="J66" s="8">
        <v>3</v>
      </c>
      <c r="K66" s="8">
        <v>3</v>
      </c>
      <c r="L66" s="8">
        <v>4</v>
      </c>
      <c r="M66" s="8" t="str">
        <v>ある</v>
      </c>
      <c r="N66" s="8" t="str">
        <v>触れた事のないサービスに触れる事ができ実際に手を動かすことで理解が深まりました。再度、Udemyでコンテナを学び直して研修を再実施することでより深く理解できる様に致します。</v>
      </c>
      <c r="O66" s="8" t="str">
        <v>お忙しい中、貴重な時間を頂戴し誠にありがとうございました。
FBでお聞きしたCloudFrontのオリジンに対する内容に進捗ありましたらご教示いただけますと幸いです。
よろしくお願いいたします。</v>
      </c>
      <c r="P66" s="19">
        <f t="shared" si="0"/>
        <v>45925</v>
      </c>
    </row>
    <row r="67" spans="1:16" ht="13.2" x14ac:dyDescent="0.25">
      <c r="A67" s="18">
        <v>45925.76718023148</v>
      </c>
      <c r="B67" s="8">
        <v>1408</v>
      </c>
      <c r="C67" s="8" t="str">
        <v>Neti Rohiniesh</v>
      </c>
      <c r="D67" s="8" t="str">
        <v>クラウドインフラエンジニア実践研修(AWS) 初級編</v>
      </c>
      <c r="E67" s="8" t="str">
        <v>天野 盛介 (クラウドインフラエンジニア実践研修(AWS) 初級編、中級編担当)</v>
      </c>
      <c r="F67" s="8">
        <v>4</v>
      </c>
      <c r="G67" s="8">
        <v>4</v>
      </c>
      <c r="H67" s="8">
        <v>2</v>
      </c>
      <c r="I67" s="8">
        <v>4</v>
      </c>
      <c r="J67" s="8">
        <v>4</v>
      </c>
      <c r="K67" s="8">
        <v>4</v>
      </c>
      <c r="L67" s="8">
        <v>4</v>
      </c>
      <c r="M67" s="8" t="str">
        <v>分からない</v>
      </c>
      <c r="N67" s="8" t="str">
        <v>N/A</v>
      </c>
      <c r="O67" s="8" t="str">
        <v>丁寧なフィードバックと助言、ありがとうございました。</v>
      </c>
      <c r="P67" s="19">
        <f t="shared" si="0"/>
        <v>45925</v>
      </c>
    </row>
    <row r="68" spans="1:16" ht="13.2" x14ac:dyDescent="0.25">
      <c r="A68" s="18">
        <v>45926.458046377316</v>
      </c>
      <c r="B68" s="8">
        <v>717</v>
      </c>
      <c r="C68" s="8" t="str">
        <v>伊藤颯佑</v>
      </c>
      <c r="D68" s="8" t="str">
        <v>クラウドインフラエンジニア実践研修(AWS) 中級編</v>
      </c>
      <c r="E68" s="8" t="str">
        <v>天野 盛介 (クラウドインフラエンジニア実践研修(AWS) 初級編、中級編担当)</v>
      </c>
      <c r="F68" s="8">
        <v>3</v>
      </c>
      <c r="G68" s="8">
        <v>4</v>
      </c>
      <c r="H68" s="8">
        <v>2</v>
      </c>
      <c r="I68" s="8">
        <v>3</v>
      </c>
      <c r="J68" s="8">
        <v>1</v>
      </c>
      <c r="K68" s="8">
        <v>1</v>
      </c>
      <c r="L68" s="8">
        <v>3</v>
      </c>
      <c r="M68" s="8" t="str">
        <v>ある</v>
      </c>
      <c r="N68" s="8" t="str">
        <v>・教材のテキストに不備や不親切だと感じる点がいくつかあった。
また、教材の配布の遅れや修正が多々あったが、完了期日は据え置きのままであったりした関係で研修に取り組む時間を確保するのが難しかった。
・実施するAWS環境すら決まっていない状態で研修が開始された。
受講することが決まった後に、自分のセクション環境にてリソース構築することが決定したため、リソース作成のコストの負担等はどう取り決められていたのか気になった。
・Slackの問い合わせフォームにて、主に研修の進め方に関する疑問点を解消できるのは良かった。
・Excelでの成果物提出を実施したが、成果物として意味があるのかやや疑問だった。
疑問点など記載する欄が用意されていたが、面談時には自力で解決をしている状態であったため、あまり相談することがなかった。課題が問題なく終了していることもあり、特に問題なさそうですね。。といったやり取りで終えてしまった。（実際に15分ほどで面談は終了）</v>
      </c>
      <c r="O68" s="8" t="str">
        <v xml:space="preserve">
</v>
      </c>
      <c r="P68" s="19">
        <f t="shared" si="0"/>
        <v>45926</v>
      </c>
    </row>
    <row r="69" spans="1:16" ht="13.2" x14ac:dyDescent="0.25">
      <c r="A69" s="18">
        <v>45926.690769525463</v>
      </c>
      <c r="B69" s="8">
        <v>1270</v>
      </c>
      <c r="C69" s="8" t="str">
        <v>山岸一範</v>
      </c>
      <c r="D69" s="8" t="str">
        <v>フロントエンドエンジニア実践研修(React) 中級編</v>
      </c>
      <c r="E69" s="8" t="str">
        <v>柴﨑 良平 (フロントエンドエンジニア実践研修(React) 中級編担当)</v>
      </c>
      <c r="F69" s="8">
        <v>3</v>
      </c>
      <c r="G69" s="8">
        <v>4</v>
      </c>
      <c r="H69" s="8">
        <v>3</v>
      </c>
      <c r="I69" s="8">
        <v>2</v>
      </c>
      <c r="J69" s="8">
        <v>3</v>
      </c>
      <c r="K69" s="8">
        <v>2</v>
      </c>
      <c r="L69" s="8">
        <v>3</v>
      </c>
      <c r="M69" s="8" t="str">
        <v>ある</v>
      </c>
      <c r="N69" s="8" t="str">
        <v>実務でReact / Next.js は使ったことがなかったので今回手を動かしてアプリを作ることができてよかった。
中級くらいならDBやOAuth使った認証も加えた課題にしてよかった気がします。</v>
      </c>
      <c r="O69" s="8" t="str">
        <v>デザインに気になるところがあると否定から入るのでイライラした。
褒めてから指摘するなどした方がいい。</v>
      </c>
      <c r="P69" s="19">
        <f t="shared" si="0"/>
        <v>45926</v>
      </c>
    </row>
    <row r="70" spans="1:16" ht="13.2" x14ac:dyDescent="0.25">
      <c r="A70" s="18">
        <v>45929.525317430554</v>
      </c>
      <c r="B70" s="8">
        <v>1366</v>
      </c>
      <c r="C70" s="8" t="str">
        <v>毛利 彩乃（要望を追記して再提出させていただきます）</v>
      </c>
      <c r="D70" s="8" t="str">
        <v>クラウドインフラエンジニア実践研修(AWS) 中級編</v>
      </c>
      <c r="E70" s="8" t="str">
        <v>天野 盛介 (クラウドインフラエンジニア実践研修(AWS) 初級編、中級編担当)</v>
      </c>
      <c r="F70" s="8">
        <v>2</v>
      </c>
      <c r="G70" s="8">
        <v>3</v>
      </c>
      <c r="H70" s="8">
        <v>3</v>
      </c>
      <c r="I70" s="8">
        <v>3</v>
      </c>
      <c r="J70" s="8">
        <v>1</v>
      </c>
      <c r="K70" s="8">
        <v>2</v>
      </c>
      <c r="L70" s="8">
        <v>3</v>
      </c>
      <c r="M70" s="8" t="str">
        <v>ある</v>
      </c>
      <c r="N70" s="8" t="str">
        <v>〈研修内容への要望〉
前回の回答では、要望面含めてあまり具体的な記載をしていなかったと記憶しますため、
私が実施して気になった内容と要望を追加で記載させていただきます。
⚫︎検証用の環境を構築するためのCloudFormationのコードの改善
　- ElasticIPアドレスが振られていないため、再度起動した際にCFのオリジンとEC2のパブリックDNSが不一致となる
　- nginxの自動起動が設定されていない
→これにより、一度EC2を停止し、再度起動して研修を再開しようとした際にCF→EC2の接続が行えませんでした。
　この構成ですとEC2を停止することは十分にありうると考えますため、コードを改善いただきたいです。
この内容は事前準備であり、本題とは逸れる内容であるため、主題に集中するためにきちんと整備されていてほしいと感じます。
⚫︎サブネットのNWアドレスの重複の改善
→NWの重複があり、テキストの指示通りのNW範囲でサブネットを切れない
いち受講者としての所感ですが、特にNW不一致については「もしかするとこれは事前に必要なテストがなされていない教材なのかもしれない」と感じてしまいました。
⚫︎研修そのものの終わり方の改善
「面談を完了すれば終わり」ではなく、修了証のようなものがほしいです。
こういった内容の研修を受けた、こんなリソースを触ってこんなことができるようになった、と研修の内容がまとめられ、社内のオフィシャルな記録に残せるようなものをイメージしています。
よろしくお願いいたします。</v>
      </c>
      <c r="O70" s="8" t="str">
        <v>前回提出させていただいた通りです。ご対応ありがとうございます。</v>
      </c>
      <c r="P70" s="19">
        <f t="shared" si="0"/>
        <v>45929</v>
      </c>
    </row>
    <row r="71" spans="1:16" ht="13.2" x14ac:dyDescent="0.25">
      <c r="A71" s="18">
        <v>45929.772137916661</v>
      </c>
      <c r="B71" s="8">
        <v>1332</v>
      </c>
      <c r="C71" s="8" t="str">
        <v>江端隼樹</v>
      </c>
      <c r="D71" s="8" t="str">
        <v>フロントエンドエンジニア実践研修(React) 初級編</v>
      </c>
      <c r="E71" s="8" t="str">
        <v>日暮 香美 (フロントエンドエンジニア実践研修(React) 初級編、中級編担当)</v>
      </c>
      <c r="F71" s="8">
        <v>3</v>
      </c>
      <c r="G71" s="8">
        <v>3</v>
      </c>
      <c r="H71" s="8">
        <v>4</v>
      </c>
      <c r="I71" s="8">
        <v>4</v>
      </c>
      <c r="J71" s="8">
        <v>2</v>
      </c>
      <c r="K71" s="8">
        <v>3</v>
      </c>
      <c r="L71" s="8">
        <v>4</v>
      </c>
      <c r="M71" s="8" t="str">
        <v>ある</v>
      </c>
      <c r="N71" s="8" t="str">
        <v>e-learningのボリュームが多かったので、既に習得ずみのものは跳ばして受講した</v>
      </c>
      <c r="O71" s="8" t="str">
        <v>フィードバックで適切な指摘をいただいた</v>
      </c>
      <c r="P71" s="19">
        <f t="shared" si="0"/>
        <v>45929</v>
      </c>
    </row>
    <row r="72" spans="1:16" ht="13.2" x14ac:dyDescent="0.25">
      <c r="A72" s="18">
        <v>45930.769870115742</v>
      </c>
      <c r="B72" s="8">
        <v>983</v>
      </c>
      <c r="C72" s="8" t="str">
        <v>田中辰弥</v>
      </c>
      <c r="D72" s="8" t="str">
        <v>フロントエンドエンジニア実践研修(React) 中級編</v>
      </c>
      <c r="E72" s="8" t="str">
        <v>日暮 香美 (フロントエンドエンジニア実践研修(React) 初級編、中級編担当)</v>
      </c>
      <c r="F72" s="8">
        <v>4</v>
      </c>
      <c r="G72" s="8">
        <v>4</v>
      </c>
      <c r="H72" s="8">
        <v>4</v>
      </c>
      <c r="I72" s="8">
        <v>4</v>
      </c>
      <c r="J72" s="8">
        <v>4</v>
      </c>
      <c r="K72" s="8">
        <v>4</v>
      </c>
      <c r="L72" s="8">
        <v>4</v>
      </c>
      <c r="M72" s="8" t="str">
        <v>分からない</v>
      </c>
      <c r="N72" s="8" t="str">
        <v>今回はNext.jsの内部に作ったAPIを使っていましたが、外部APIを使った問題もあるとなお良かったかなと思います。</v>
      </c>
      <c r="O72" s="8" t="str">
        <v>丁寧にフィードバックして頂き、ありがとうございました！</v>
      </c>
      <c r="P72" s="19">
        <f t="shared" si="0"/>
        <v>45930</v>
      </c>
    </row>
    <row r="73" spans="1:16" ht="13.2" x14ac:dyDescent="0.25">
      <c r="A73" s="18">
        <v>45932.429331562496</v>
      </c>
      <c r="B73" s="8">
        <v>1079</v>
      </c>
      <c r="C73" s="8" t="str">
        <v>坂　翔太</v>
      </c>
      <c r="D73" s="8" t="str">
        <v>フロントエンドエンジニア実践研修(React) 中級編</v>
      </c>
      <c r="E73" s="8" t="str">
        <v>日暮 香美 (フロントエンドエンジニア実践研修(React) 初級編、中級編担当)</v>
      </c>
      <c r="F73" s="8">
        <v>4</v>
      </c>
      <c r="G73" s="8">
        <v>4</v>
      </c>
      <c r="H73" s="8">
        <v>4</v>
      </c>
      <c r="I73" s="8">
        <v>4</v>
      </c>
      <c r="J73" s="8">
        <v>3</v>
      </c>
      <c r="K73" s="8">
        <v>4</v>
      </c>
      <c r="L73" s="8">
        <v>4</v>
      </c>
      <c r="M73" s="8" t="str">
        <v>ある</v>
      </c>
      <c r="N73" s="8" t="str">
        <v>eslintやprettierなども研修内容にあるとより実務レベルの経験を詰めると思いました。</v>
      </c>
      <c r="O73" s="8" t="str">
        <v>質問に丁寧に回答していただき、ありがとうございました。</v>
      </c>
      <c r="P73" s="19">
        <f t="shared" si="0"/>
        <v>45932</v>
      </c>
    </row>
    <row r="74" spans="1:16" ht="13.2" x14ac:dyDescent="0.25">
      <c r="A74" s="18">
        <v>45939.680285844908</v>
      </c>
      <c r="B74" s="8" t="str">
        <v>001162</v>
      </c>
      <c r="C74" s="8" t="str">
        <v>馬場拓也</v>
      </c>
      <c r="D74" s="8" t="str">
        <v>フロントエンドエンジニア実践研修(Vue.js) 初級編</v>
      </c>
      <c r="E74" s="8" t="str">
        <v>小川 雅大 (フロントエンドエンジニア実践研修(Vue.js) 初級編、中級編担当)</v>
      </c>
      <c r="F74" s="8">
        <v>4</v>
      </c>
      <c r="G74" s="8">
        <v>4</v>
      </c>
      <c r="H74" s="8">
        <v>4</v>
      </c>
      <c r="I74" s="8">
        <v>4</v>
      </c>
      <c r="J74" s="8">
        <v>4</v>
      </c>
      <c r="K74" s="8">
        <v>4</v>
      </c>
      <c r="L74" s="8">
        <v>4</v>
      </c>
      <c r="M74" s="8" t="str">
        <v>ある</v>
      </c>
      <c r="N74" s="8" t="str">
        <v>ワークフロー「成果物の提出」で1on1フィードバック予約日を入力しましたが、これについて特に音沙汰がなく、別途1on1予約しないといけないのがわかりづらかったです</v>
      </c>
      <c r="O74" s="8" t="str">
        <v>要件と問題のPDFもわかりやすく記載されており、進めやすかったです</v>
      </c>
      <c r="P74" s="19">
        <f t="shared" si="0"/>
        <v>45939</v>
      </c>
    </row>
    <row r="75" spans="1:16" ht="13.2" x14ac:dyDescent="0.25">
      <c r="A75" s="18">
        <v>45939.685680277777</v>
      </c>
      <c r="B75" s="8">
        <v>1050</v>
      </c>
      <c r="C75" s="8" t="str">
        <v>並木 柊斗</v>
      </c>
      <c r="D75" s="8" t="str">
        <v>フロントエンドエンジニア実践研修(Vue.js) 初級編</v>
      </c>
      <c r="E75" s="8" t="str">
        <v>小川 雅大 (フロントエンドエンジニア実践研修(Vue.js) 初級編、中級編担当)</v>
      </c>
      <c r="F75" s="8">
        <v>4</v>
      </c>
      <c r="G75" s="8">
        <v>3</v>
      </c>
      <c r="H75" s="8">
        <v>4</v>
      </c>
      <c r="I75" s="8">
        <v>4</v>
      </c>
      <c r="J75" s="8">
        <v>4</v>
      </c>
      <c r="K75" s="8">
        <v>4</v>
      </c>
      <c r="L75" s="8">
        <v>4</v>
      </c>
      <c r="M75" s="8" t="str">
        <v>ある</v>
      </c>
      <c r="N75" s="8" t="str">
        <v>特になし</v>
      </c>
      <c r="O75" s="8" t="str">
        <v>特になし</v>
      </c>
      <c r="P75" s="19">
        <f t="shared" si="0"/>
        <v>45939</v>
      </c>
    </row>
    <row r="76" spans="1:16" ht="13.2" x14ac:dyDescent="0.25">
      <c r="A76" s="18">
        <v>45940.748983668978</v>
      </c>
      <c r="B76" s="8">
        <v>1258</v>
      </c>
      <c r="C76" s="8" t="str">
        <v>篠藤　誉之</v>
      </c>
      <c r="D76" s="8" t="str">
        <v>フロントエンドエンジニア実践研修(Vue.js) 初級編</v>
      </c>
      <c r="E76" s="8" t="str">
        <v>小川 雅大 (フロントエンドエンジニア実践研修(Vue.js) 初級編、中級編担当)</v>
      </c>
      <c r="F76" s="8">
        <v>3</v>
      </c>
      <c r="G76" s="8">
        <v>4</v>
      </c>
      <c r="H76" s="8">
        <v>3</v>
      </c>
      <c r="I76" s="8">
        <v>3</v>
      </c>
      <c r="J76" s="8">
        <v>4</v>
      </c>
      <c r="K76" s="8">
        <v>3</v>
      </c>
      <c r="L76" s="8">
        <v>3</v>
      </c>
      <c r="M76" s="8" t="str">
        <v>ある</v>
      </c>
      <c r="N76" s="8" t="str">
        <v>研修問題が分かりやすく、やっていく中で自信がつきました。ありがとうございます</v>
      </c>
      <c r="O76" s="8" t="str">
        <v>特にございません</v>
      </c>
      <c r="P76" s="19">
        <f t="shared" si="0"/>
        <v>45940</v>
      </c>
    </row>
    <row r="77" spans="1:16" ht="13.2" x14ac:dyDescent="0.25">
      <c r="A77" s="18">
        <v>45940.74901053241</v>
      </c>
      <c r="B77" s="8">
        <v>1435</v>
      </c>
      <c r="C77" s="8" t="str">
        <v>島仲 立希</v>
      </c>
      <c r="D77" s="8" t="str">
        <v>クラウドインフラエンジニア実践研修(AWS) 初級編</v>
      </c>
      <c r="E77" s="8" t="str">
        <v>天野 盛介 (クラウドインフラエンジニア実践研修(AWS) 初級編、中級編担当)</v>
      </c>
      <c r="F77" s="8">
        <v>3</v>
      </c>
      <c r="G77" s="8">
        <v>3</v>
      </c>
      <c r="H77" s="8">
        <v>4</v>
      </c>
      <c r="I77" s="8">
        <v>3</v>
      </c>
      <c r="J77" s="8">
        <v>3</v>
      </c>
      <c r="K77" s="8">
        <v>3</v>
      </c>
      <c r="L77" s="8">
        <v>3</v>
      </c>
      <c r="M77" s="8" t="str">
        <v>ある</v>
      </c>
      <c r="N77" s="8" t="str">
        <v>業務では設定することのない操作を実施できたので学びになった</v>
      </c>
      <c r="O77" s="8" t="str">
        <v>親身に対応いただけた</v>
      </c>
      <c r="P77" s="19">
        <f t="shared" si="0"/>
        <v>45940</v>
      </c>
    </row>
    <row r="78" spans="1:16" ht="13.2" x14ac:dyDescent="0.25">
      <c r="A78" s="18">
        <v>45946.629402326391</v>
      </c>
      <c r="B78" s="8" t="str">
        <v>001162</v>
      </c>
      <c r="C78" s="8" t="str">
        <v>馬場拓也</v>
      </c>
      <c r="D78" s="8" t="str">
        <v>クラウドインフラエンジニア実践研修(AWS) 初級編</v>
      </c>
      <c r="E78" s="8" t="str">
        <v>天野 盛介 (クラウドインフラエンジニア実践研修(AWS) 初級編、中級編担当)</v>
      </c>
      <c r="F78" s="8">
        <v>4</v>
      </c>
      <c r="G78" s="8">
        <v>3</v>
      </c>
      <c r="H78" s="8">
        <v>3</v>
      </c>
      <c r="I78" s="8">
        <v>4</v>
      </c>
      <c r="J78" s="8">
        <v>3</v>
      </c>
      <c r="K78" s="8">
        <v>3</v>
      </c>
      <c r="L78" s="8">
        <v>4</v>
      </c>
      <c r="M78" s="8" t="str">
        <v>ある</v>
      </c>
      <c r="N78" s="8" t="str">
        <v>特にありません</v>
      </c>
      <c r="O78" s="8" t="str">
        <v>最後に実施したヘルスステータスは問題なく「Healthy」となりました</v>
      </c>
      <c r="P78" s="19">
        <f t="shared" si="0"/>
        <v>45946</v>
      </c>
    </row>
    <row r="79" spans="1:16" ht="13.2" x14ac:dyDescent="0.25">
      <c r="A79" s="18">
        <v>45950.641117430554</v>
      </c>
      <c r="B79" s="8">
        <v>682</v>
      </c>
      <c r="C79" s="8" t="str">
        <v>梶達也</v>
      </c>
      <c r="D79" s="8" t="str">
        <v>スマホアプリエンジニア実践研修 初級編</v>
      </c>
      <c r="E79" s="8" t="str">
        <v>清水 裕太 (スマホアプリエンジニア実践研修 初級編、中級編担当)</v>
      </c>
      <c r="F79" s="8">
        <v>3</v>
      </c>
      <c r="G79" s="8">
        <v>4</v>
      </c>
      <c r="H79" s="8">
        <v>3</v>
      </c>
      <c r="I79" s="8">
        <v>3</v>
      </c>
      <c r="J79" s="8">
        <v>2</v>
      </c>
      <c r="K79" s="8">
        <v>3</v>
      </c>
      <c r="L79" s="8">
        <v>3</v>
      </c>
      <c r="M79" s="8" t="str">
        <v>分からない</v>
      </c>
      <c r="N79" s="8" t="str">
        <v>他の言語も学んでみたい</v>
      </c>
      <c r="O79" s="8" t="str">
        <v>なし</v>
      </c>
      <c r="P79" s="19">
        <f t="shared" si="0"/>
        <v>45950</v>
      </c>
    </row>
    <row r="80" spans="1:16" ht="13.2" x14ac:dyDescent="0.25">
      <c r="A80" s="18">
        <v>45951.741142696759</v>
      </c>
      <c r="B80" s="8">
        <v>1033</v>
      </c>
      <c r="C80" s="8" t="str">
        <v>鎌倉なつの</v>
      </c>
      <c r="D80" s="8" t="str">
        <v>クラウドインフラエンジニア実践研修(AWS) 中級編</v>
      </c>
      <c r="E80" s="8" t="str">
        <v>天野 盛介 (クラウドインフラエンジニア実践研修(AWS) 初級編、中級編担当)</v>
      </c>
      <c r="F80" s="8">
        <v>3</v>
      </c>
      <c r="G80" s="8">
        <v>4</v>
      </c>
      <c r="H80" s="8">
        <v>4</v>
      </c>
      <c r="I80" s="8">
        <v>3</v>
      </c>
      <c r="J80" s="8">
        <v>2</v>
      </c>
      <c r="K80" s="8">
        <v>4</v>
      </c>
      <c r="L80" s="8">
        <v>3</v>
      </c>
      <c r="M80" s="8" t="str">
        <v>ある</v>
      </c>
      <c r="N80" s="8" t="str">
        <v>特になし</v>
      </c>
      <c r="O80" s="8" t="str">
        <v>特になし</v>
      </c>
      <c r="P80" s="19">
        <f t="shared" si="0"/>
        <v>45951</v>
      </c>
    </row>
    <row r="81" spans="1:16" ht="13.2" x14ac:dyDescent="0.25">
      <c r="A81" s="18">
        <v>45952.65732726852</v>
      </c>
      <c r="B81" s="8">
        <v>619</v>
      </c>
      <c r="C81" s="8" t="str">
        <v>石川 耕平</v>
      </c>
      <c r="D81" s="8" t="str">
        <v>フロントエンドエンジニア実践研修(React) 中級編</v>
      </c>
      <c r="E81" s="8" t="str">
        <v>松永 圭悟 (フロントエンドエンジニア実践研修(React) 初級編、中級編担当)</v>
      </c>
      <c r="F81" s="8">
        <v>4</v>
      </c>
      <c r="G81" s="8">
        <v>4</v>
      </c>
      <c r="H81" s="8">
        <v>4</v>
      </c>
      <c r="I81" s="8">
        <v>4</v>
      </c>
      <c r="J81" s="8">
        <v>4</v>
      </c>
      <c r="K81" s="8">
        <v>3</v>
      </c>
      <c r="L81" s="8">
        <v>4</v>
      </c>
      <c r="M81" s="8" t="str">
        <v>ある</v>
      </c>
      <c r="N81" s="8" t="str">
        <v>Vue.js は使ったことがありましたが、Reactは使ったことなかったので今回受講することにした。
システムシェアードさんの研修に興味があったので受講することにした。
TailWindCSSに慣れていなかったので、classの設定に苦労した。</v>
      </c>
      <c r="O81" s="8" t="str">
        <v>特になし</v>
      </c>
      <c r="P81" s="19">
        <f t="shared" si="0"/>
        <v>45952</v>
      </c>
    </row>
    <row r="82" spans="1:16" ht="13.2" x14ac:dyDescent="0.25">
      <c r="A82" s="18">
        <v>45952.676830324075</v>
      </c>
      <c r="B82" s="8" t="str">
        <v>0977</v>
      </c>
      <c r="C82" s="8" t="str">
        <v>田村直也</v>
      </c>
      <c r="D82" s="8" t="str">
        <v>フロントエンドエンジニア実践研修(React) 中級編</v>
      </c>
      <c r="E82" s="8" t="str">
        <v>松永 圭悟 (フロントエンドエンジニア実践研修(React) 初級編、中級編担当)</v>
      </c>
      <c r="F82" s="8">
        <v>3</v>
      </c>
      <c r="G82" s="8">
        <v>4</v>
      </c>
      <c r="H82" s="8">
        <v>3</v>
      </c>
      <c r="I82" s="8">
        <v>4</v>
      </c>
      <c r="J82" s="8">
        <v>3</v>
      </c>
      <c r="K82" s="8">
        <v>1</v>
      </c>
      <c r="L82" s="8">
        <v>1</v>
      </c>
      <c r="M82" s="8" t="str">
        <v>ある</v>
      </c>
      <c r="N82" s="8" t="str">
        <v>特になし</v>
      </c>
      <c r="O82" s="8" t="str">
        <v>講師の方のフィードバックはあまり参考にならなかった。もう少しコードレベルでのフィードバックを頂けた方が参考になると思いました。</v>
      </c>
      <c r="P82" s="19">
        <f t="shared" si="0"/>
        <v>45952</v>
      </c>
    </row>
    <row r="83" spans="1:16" ht="13.2" x14ac:dyDescent="0.25">
      <c r="A83" s="18">
        <v>45952.747869178245</v>
      </c>
      <c r="B83" s="8">
        <v>1034</v>
      </c>
      <c r="C83" s="8" t="str">
        <v>鴨志田公佑</v>
      </c>
      <c r="D83" s="8" t="str">
        <v>フロントエンドエンジニア実践研修(React) 中級編</v>
      </c>
      <c r="E83" s="8" t="str">
        <v>松永 圭悟 (フロントエンドエンジニア実践研修(React) 初級編、中級編担当)</v>
      </c>
      <c r="F83" s="8">
        <v>3</v>
      </c>
      <c r="G83" s="8">
        <v>3</v>
      </c>
      <c r="H83" s="8">
        <v>3</v>
      </c>
      <c r="I83" s="8">
        <v>3</v>
      </c>
      <c r="J83" s="8">
        <v>3</v>
      </c>
      <c r="K83" s="8">
        <v>3</v>
      </c>
      <c r="L83" s="8">
        <v>3</v>
      </c>
      <c r="M83" s="8" t="str">
        <v>ある</v>
      </c>
      <c r="N83" s="8" t="str">
        <v>こちら側では発生してないが、講師の方側でアプリ起動時にエラーが発生してしまったため、フィードバックは二回目の提出時に行うことになりました。</v>
      </c>
      <c r="O83" s="8" t="str">
        <v>ありがとうございました。</v>
      </c>
      <c r="P83" s="19">
        <f t="shared" si="0"/>
        <v>45952</v>
      </c>
    </row>
    <row r="84" spans="1:16" ht="13.2" x14ac:dyDescent="0.25">
      <c r="A84" s="18">
        <v>45953.594863067134</v>
      </c>
      <c r="B84" s="8">
        <v>967</v>
      </c>
      <c r="C84" s="8" t="str">
        <v>米田 和輝</v>
      </c>
      <c r="D84" s="8" t="str">
        <v>クラウドインフラエンジニア実践研修(GC) 中級編</v>
      </c>
      <c r="E84" s="8" t="str">
        <v>野川 錦策 (クラウドインフラエンジニア実践研修(GC) 初級編、中級編担当)</v>
      </c>
      <c r="F84" s="8">
        <v>4</v>
      </c>
      <c r="G84" s="8">
        <v>4</v>
      </c>
      <c r="H84" s="8">
        <v>4</v>
      </c>
      <c r="I84" s="8">
        <v>4</v>
      </c>
      <c r="J84" s="8">
        <v>3</v>
      </c>
      <c r="K84" s="8">
        <v>3</v>
      </c>
      <c r="L84" s="8">
        <v>4</v>
      </c>
      <c r="M84" s="8" t="str">
        <v>ある</v>
      </c>
      <c r="N84" s="8" t="str">
        <v>Google Cloud の主要サービスを Terraform のモジュール構成で設計・構築する流れを経験できたため、今後の案件にも活かすことができる汎用的なスキルを身につけることができたと思います。</v>
      </c>
      <c r="O84" s="8" t="str">
        <v>提出した成果物に対して詳細にレビューいただき、疑問点の解消ができました。</v>
      </c>
      <c r="P84" s="19">
        <f t="shared" si="0"/>
        <v>45953</v>
      </c>
    </row>
    <row r="85" spans="1:16" ht="13.2" x14ac:dyDescent="0.25">
      <c r="A85" s="18">
        <v>45959.662675532411</v>
      </c>
      <c r="B85" s="8">
        <v>1180</v>
      </c>
      <c r="C85" s="8" t="str">
        <v>内藤 宏治</v>
      </c>
      <c r="D85" s="8" t="str">
        <v>フロントエンドエンジニア実践研修(React) 中級編</v>
      </c>
      <c r="E85" s="8" t="str">
        <v>松永 圭悟 (フロントエンドエンジニア実践研修(React) 初級編、中級編担当)</v>
      </c>
      <c r="F85" s="8">
        <v>3</v>
      </c>
      <c r="G85" s="8">
        <v>3</v>
      </c>
      <c r="H85" s="8">
        <v>3</v>
      </c>
      <c r="I85" s="8">
        <v>3</v>
      </c>
      <c r="J85" s="8">
        <v>1</v>
      </c>
      <c r="K85" s="8">
        <v>3</v>
      </c>
      <c r="L85" s="8">
        <v>3</v>
      </c>
      <c r="M85" s="8" t="str">
        <v>分からない</v>
      </c>
      <c r="N85" s="8" t="str">
        <v>どう設計するのがベターだったのかを見たいので、完成したリポジトリのリンクなどが教材下部にあると嬉しかったです。</v>
      </c>
      <c r="O85" s="8" t="str">
        <v>非常に緊張してたので、Reactの分野に関して講師なのでもっと自信を持っていいと思いました！</v>
      </c>
      <c r="P85" s="19">
        <f t="shared" si="0"/>
        <v>45959</v>
      </c>
    </row>
    <row r="86" spans="1:16" ht="13.2" x14ac:dyDescent="0.25">
      <c r="A86" s="18">
        <v>45961.731983171296</v>
      </c>
      <c r="B86" s="8" t="str">
        <v>001324</v>
      </c>
      <c r="C86" s="8" t="str">
        <v>藤原 康敬</v>
      </c>
      <c r="D86" s="8" t="str">
        <v>クラウドインフラエンジニア実践研修(AWS) 中級編</v>
      </c>
      <c r="E86" s="8" t="str">
        <v>天野 盛介 (クラウドインフラエンジニア実践研修(AWS) 初級編、中級編担当)</v>
      </c>
      <c r="F86" s="8">
        <v>4</v>
      </c>
      <c r="G86" s="8">
        <v>3</v>
      </c>
      <c r="H86" s="8">
        <v>4</v>
      </c>
      <c r="I86" s="8">
        <v>3</v>
      </c>
      <c r="J86" s="8">
        <v>3</v>
      </c>
      <c r="K86" s="8">
        <v>4</v>
      </c>
      <c r="L86" s="8">
        <v>4</v>
      </c>
      <c r="M86" s="8" t="str">
        <v>ある</v>
      </c>
      <c r="N86" s="8" t="str">
        <v>アプリを稼働させる基盤構築に加え、サードパーティ製品（例：Datadog、New Relic、Prometheus/Grafanaなど）を用いたオブザーバビリティ強化についても学びたいです。特に、APM（Application Performance Monitoring）ツールを導入し、アプリケーションのパフォーマンス分析やボトルネックの特定を行う実践的な演習があると、より現場で役立つと感じます。</v>
      </c>
      <c r="O86" s="8" t="str">
        <v>チェックシートに記載していなかった疑問点等に関しても回答してくださり、ありがとうございました。</v>
      </c>
      <c r="P86" s="19">
        <f t="shared" si="0"/>
        <v>45961</v>
      </c>
    </row>
    <row r="87" spans="1:16" ht="13.2" x14ac:dyDescent="0.25">
      <c r="A87" s="18">
        <v>45961.768628449077</v>
      </c>
      <c r="B87" s="8">
        <v>1032</v>
      </c>
      <c r="C87" s="8" t="str">
        <v>叶内郁也</v>
      </c>
      <c r="D87" s="8" t="str">
        <v>フロントエンドエンジニア実践研修(React) 中級編</v>
      </c>
      <c r="E87" s="8" t="str">
        <v>柴﨑 良平 (フロントエンドエンジニア実践研修(React) 中級編担当)</v>
      </c>
      <c r="F87" s="8">
        <v>4</v>
      </c>
      <c r="G87" s="8">
        <v>4</v>
      </c>
      <c r="H87" s="8">
        <v>4</v>
      </c>
      <c r="I87" s="8">
        <v>4</v>
      </c>
      <c r="J87" s="8">
        <v>4</v>
      </c>
      <c r="K87" s="8">
        <v>4</v>
      </c>
      <c r="L87" s="8">
        <v>4</v>
      </c>
      <c r="M87" s="8" t="str">
        <v>ある</v>
      </c>
      <c r="N87" s="8" t="str">
        <v>next.jsやreduxは実践的に初めて学べたため、今後のモデルとして役立ついい経験となりました。</v>
      </c>
      <c r="O87" s="8" t="str">
        <v>特にはありません。</v>
      </c>
      <c r="P87" s="19">
        <f t="shared" si="0"/>
        <v>45961</v>
      </c>
    </row>
    <row r="88" spans="1:16" ht="13.2" x14ac:dyDescent="0.25">
      <c r="A88" s="18">
        <v>45961.775467500003</v>
      </c>
      <c r="B88" s="8">
        <v>1332</v>
      </c>
      <c r="C88" s="8" t="str">
        <v>江端隼樹</v>
      </c>
      <c r="D88" s="8" t="str">
        <v>フロントエンドエンジニア実践研修(React) 中級編</v>
      </c>
      <c r="E88" s="8" t="str">
        <v>柴﨑 良平 (フロントエンドエンジニア実践研修(React) 中級編担当)</v>
      </c>
      <c r="F88" s="8">
        <v>4</v>
      </c>
      <c r="G88" s="8">
        <v>3</v>
      </c>
      <c r="H88" s="8">
        <v>3</v>
      </c>
      <c r="I88" s="8">
        <v>2</v>
      </c>
      <c r="J88" s="8">
        <v>3</v>
      </c>
      <c r="K88" s="8">
        <v>4</v>
      </c>
      <c r="L88" s="8">
        <v>4</v>
      </c>
      <c r="M88" s="8" t="str">
        <v>ある</v>
      </c>
      <c r="N88" s="8" t="str">
        <v>最後の課題の内容が少しボリューミーだった</v>
      </c>
      <c r="O88" s="8" t="str">
        <v>適切にアドバイスをもらった</v>
      </c>
      <c r="P88" s="19">
        <f t="shared" si="0"/>
        <v>45961</v>
      </c>
    </row>
    <row r="89" spans="1:16" ht="13.2" x14ac:dyDescent="0.25">
      <c r="A89" s="18">
        <v>45979.706299074074</v>
      </c>
      <c r="B89" s="8">
        <v>1362</v>
      </c>
      <c r="C89" s="8" t="str">
        <v>橋本 聡太</v>
      </c>
      <c r="D89" s="8" t="str">
        <v>クラウドインフラエンジニア実践研修(GC) 初級編</v>
      </c>
      <c r="E89" s="8" t="str">
        <v>野川 錦策 (クラウドインフラエンジニア実践研修(GC) 初級編、中級編担当)</v>
      </c>
      <c r="F89" s="8">
        <v>3</v>
      </c>
      <c r="G89" s="8">
        <v>3</v>
      </c>
      <c r="H89" s="8">
        <v>4</v>
      </c>
      <c r="I89" s="8">
        <v>3</v>
      </c>
      <c r="J89" s="8">
        <v>2</v>
      </c>
      <c r="K89" s="8">
        <v>4</v>
      </c>
      <c r="L89" s="8">
        <v>4</v>
      </c>
      <c r="M89" s="8" t="str">
        <v>ある</v>
      </c>
      <c r="N89" s="8" t="str">
        <v>初級編にしては難易度が高いと感じたので、構築リソースを見直すか、研修の教材をより丁寧すると良いと思いました。</v>
      </c>
      <c r="O89" s="8" t="str">
        <v>ご丁寧に説明いただきありがとうございます。</v>
      </c>
      <c r="P89" s="19">
        <f t="shared" si="0"/>
        <v>45979</v>
      </c>
    </row>
    <row r="90" spans="1:16" ht="13.2" x14ac:dyDescent="0.25">
      <c r="A90" s="18">
        <v>45979.761456145832</v>
      </c>
      <c r="B90" s="8">
        <v>1422</v>
      </c>
      <c r="C90" s="8" t="str">
        <v>吉田 夢来</v>
      </c>
      <c r="D90" s="8" t="str">
        <v>バックエンドエンジニア実践研修(PHP) 初級編</v>
      </c>
      <c r="E90" s="8" t="str">
        <v>相馬 大智 (バックエンドエンジニア実践研修(PHP) 初級編担当)</v>
      </c>
      <c r="F90" s="8">
        <v>4</v>
      </c>
      <c r="G90" s="8">
        <v>3</v>
      </c>
      <c r="H90" s="8">
        <v>4</v>
      </c>
      <c r="I90" s="8">
        <v>4</v>
      </c>
      <c r="J90" s="8">
        <v>4</v>
      </c>
      <c r="K90" s="8">
        <v>4</v>
      </c>
      <c r="L90" s="8">
        <v>4</v>
      </c>
      <c r="M90" s="8" t="str">
        <v>ある</v>
      </c>
      <c r="N90" s="8" t="str">
        <v>Laravelの課題に取り組む中でルーティングやMVCモデルの基礎を体系的に学ぶことができました。これにより、案件に参画する上での基礎力をしっかりと身につけることができたと感じています。</v>
      </c>
      <c r="O90" s="8" t="str">
        <v>チーム開発におけるコーディングで意識すべき点や、AIを活用した効率的なコーディング方法など、限られた時間の中で非常に実践的かつ多様な知識を教えていただきました。この機会を活かし、今後エンジニアとしてさらに成長していきたいと強く思いました。</v>
      </c>
      <c r="P90" s="19">
        <f t="shared" si="0"/>
        <v>45979</v>
      </c>
    </row>
    <row r="91" spans="1:16" ht="13.2" x14ac:dyDescent="0.25">
      <c r="A91" s="18">
        <v>45980.439199120374</v>
      </c>
      <c r="B91" s="8">
        <v>291</v>
      </c>
      <c r="C91" s="8" t="str">
        <v>澤田 翼</v>
      </c>
      <c r="D91" s="8" t="str">
        <v>クラウドインフラエンジニア実践研修(GC) 初級編</v>
      </c>
      <c r="E91" s="8" t="str">
        <v>野川 錦策 (クラウドインフラエンジニア実践研修(GC) 初級編、中級編担当)</v>
      </c>
      <c r="F91" s="8">
        <v>3</v>
      </c>
      <c r="G91" s="8">
        <v>3</v>
      </c>
      <c r="H91" s="8">
        <v>3</v>
      </c>
      <c r="I91" s="8">
        <v>4</v>
      </c>
      <c r="J91" s="8">
        <v>2</v>
      </c>
      <c r="K91" s="8">
        <v>4</v>
      </c>
      <c r="L91" s="8">
        <v>4</v>
      </c>
      <c r="M91" s="8" t="str">
        <v>ある</v>
      </c>
      <c r="N91" s="8" t="str">
        <v>GCを体系的に学ぶ機会が欲しかったためその点においては良かったし課題のレベル感や
題材も適切なものであったと思う。
ただ初級でも成果物作成においてterraformを使う研修であることを事前に知らされていなかったためその点は面食らった。多少GCを学ぶハードルにもなる点のため、概要で記載し事前に通知すべきと思う。
また、10-12月期の研修であるにもかかわらず1on1が11月中旬に1回のみしか設定されないことはいただけないと感じた。</v>
      </c>
      <c r="O91" s="8" t="str">
        <v>適切なアドバイス、ありがとうございました。</v>
      </c>
      <c r="P91" s="19">
        <f t="shared" si="0"/>
        <v>45980</v>
      </c>
    </row>
    <row r="92" spans="1:16" ht="13.2" x14ac:dyDescent="0.25">
      <c r="A92" s="18">
        <v>45980.66978207176</v>
      </c>
      <c r="B92" s="8" t="str">
        <v>001151</v>
      </c>
      <c r="C92" s="8" t="str">
        <v>大山晃介</v>
      </c>
      <c r="D92" s="8" t="str">
        <v>クラウドインフラエンジニア実践研修(AWS) 初級編</v>
      </c>
      <c r="E92" s="8" t="str">
        <v>天野 盛介 (クラウドインフラエンジニア実践研修(AWS) 初級編、中級編担当)</v>
      </c>
      <c r="F92" s="8">
        <v>3</v>
      </c>
      <c r="G92" s="8">
        <v>3</v>
      </c>
      <c r="H92" s="8">
        <v>3</v>
      </c>
      <c r="I92" s="8">
        <v>3</v>
      </c>
      <c r="J92" s="8">
        <v>3</v>
      </c>
      <c r="K92" s="8">
        <v>3</v>
      </c>
      <c r="L92" s="8">
        <v>3</v>
      </c>
      <c r="M92" s="8" t="str">
        <v>ある</v>
      </c>
      <c r="N92" s="8" t="str">
        <v>ec2で実行するコマンドなど、手順書と問題で異なっていたので差異がないようにしてほしい。</v>
      </c>
      <c r="O92" s="8" t="str">
        <v>真摯にご対応いただきました。</v>
      </c>
      <c r="P92" s="19">
        <f t="shared" si="0"/>
        <v>45980</v>
      </c>
    </row>
    <row r="93" spans="1:16" ht="13.2" x14ac:dyDescent="0.25">
      <c r="A93" s="18">
        <v>45982.780050138885</v>
      </c>
      <c r="B93" s="8" t="str">
        <v>000023</v>
      </c>
      <c r="C93" s="8" t="str">
        <v>齋藤 充裕</v>
      </c>
      <c r="D93" s="8" t="str">
        <v>バックエンドエンジニア実践研修(Python) 初級編</v>
      </c>
      <c r="E93" s="8" t="str">
        <v>友井川 翔太 (バックエンドエンジニア実践研修(Python) 初級編、中級編担当)</v>
      </c>
      <c r="F93" s="8">
        <v>3</v>
      </c>
      <c r="G93" s="8">
        <v>2</v>
      </c>
      <c r="H93" s="8">
        <v>3</v>
      </c>
      <c r="I93" s="8">
        <v>3</v>
      </c>
      <c r="J93" s="8">
        <v>3</v>
      </c>
      <c r="K93" s="8">
        <v>4</v>
      </c>
      <c r="L93" s="8">
        <v>4</v>
      </c>
      <c r="M93" s="8" t="str">
        <v>ある</v>
      </c>
      <c r="N93" s="8" t="str">
        <v>特になし</v>
      </c>
      <c r="O93" s="8" t="str">
        <v>1on1でとても丁寧に解説してくれてわかりやすかったです。</v>
      </c>
      <c r="P93" s="19">
        <f t="shared" si="0"/>
        <v>45982</v>
      </c>
    </row>
    <row r="94" spans="1:16" ht="13.2" x14ac:dyDescent="0.25">
      <c r="A94" s="18">
        <v>45986.791751458339</v>
      </c>
      <c r="B94" s="8">
        <v>1090</v>
      </c>
      <c r="C94" s="8" t="str">
        <v>入道裕康</v>
      </c>
      <c r="D94" s="8" t="str">
        <v>フロントエンドエンジニア実践研修(React) 初級編</v>
      </c>
      <c r="E94" s="8" t="str">
        <v>長沢 宏彦</v>
      </c>
      <c r="F94" s="8">
        <v>3</v>
      </c>
      <c r="G94" s="8">
        <v>4</v>
      </c>
      <c r="H94" s="8">
        <v>3</v>
      </c>
      <c r="I94" s="8">
        <v>3</v>
      </c>
      <c r="J94" s="8">
        <v>3</v>
      </c>
      <c r="K94" s="8">
        <v>3</v>
      </c>
      <c r="L94" s="8">
        <v>3</v>
      </c>
      <c r="M94" s="8" t="str">
        <v>ある</v>
      </c>
      <c r="N94" s="8" t="str">
        <v>研修の流れは大変わかりやすいと思いました。ただ講座案内の際にudemyの内容を把握していることとするのは前提知識として過剰すぎるように感じました。
また、udemyの講座では最新のreactではviteでプロジェクト作成するように訂正が入っていたところ、研修内ではエントリーポイントがindex.jsxで名付けられているなど現在非推奨のCRAで実装する想定になっていそうな印象を受け混乱しました。</v>
      </c>
      <c r="O94" s="8" t="str">
        <v>参考になりました。</v>
      </c>
      <c r="P94" s="19">
        <f t="shared" si="0"/>
        <v>45986</v>
      </c>
    </row>
    <row r="95" spans="1:16" ht="13.2" x14ac:dyDescent="0.25">
      <c r="A95" s="18">
        <v>45987.700875023147</v>
      </c>
      <c r="B95" s="8">
        <v>1357</v>
      </c>
      <c r="C95" s="8" t="str">
        <v>松岡沙貴</v>
      </c>
      <c r="D95" s="8" t="str">
        <v>フロントエンドエンジニア実践研修(React) 初級編</v>
      </c>
      <c r="E95" s="8" t="str">
        <v>長沢 宏彦</v>
      </c>
      <c r="F95" s="8">
        <v>4</v>
      </c>
      <c r="G95" s="8">
        <v>3</v>
      </c>
      <c r="H95" s="8">
        <v>4</v>
      </c>
      <c r="I95" s="8">
        <v>4</v>
      </c>
      <c r="J95" s="8">
        <v>4</v>
      </c>
      <c r="K95" s="8">
        <v>4</v>
      </c>
      <c r="L95" s="8">
        <v>4</v>
      </c>
      <c r="M95" s="8" t="str">
        <v>ある</v>
      </c>
      <c r="N95" s="8" t="str">
        <v>実務にすぐ活かせる内容が多く、有意義な研修でした。</v>
      </c>
      <c r="O95" s="8" t="str">
        <v>質問しやすい雰囲気を作ってくださり、安心して受講できました。</v>
      </c>
      <c r="P95" s="19">
        <f t="shared" si="0"/>
        <v>45987</v>
      </c>
    </row>
    <row r="96" spans="1:16" ht="13.2" x14ac:dyDescent="0.25">
      <c r="A96" s="18">
        <v>45987.735700613426</v>
      </c>
      <c r="B96" s="8">
        <v>1042</v>
      </c>
      <c r="C96" s="8" t="str">
        <v>坂井田啓太</v>
      </c>
      <c r="D96" s="8" t="str">
        <v>フロントエンドエンジニア実践研修(React) 初級編</v>
      </c>
      <c r="E96" s="8" t="str">
        <v>長沢 宏彦</v>
      </c>
      <c r="F96" s="8">
        <v>4</v>
      </c>
      <c r="G96" s="8">
        <v>4</v>
      </c>
      <c r="H96" s="8">
        <v>4</v>
      </c>
      <c r="I96" s="8">
        <v>4</v>
      </c>
      <c r="J96" s="8">
        <v>4</v>
      </c>
      <c r="K96" s="8">
        <v>4</v>
      </c>
      <c r="L96" s="8">
        <v>4</v>
      </c>
      <c r="M96" s="8" t="str">
        <v>ある</v>
      </c>
      <c r="N96" s="8" t="str">
        <v>今まで負入れたことないReactについて適切な難易度で学習することができたと感じます。</v>
      </c>
      <c r="O96" s="8" t="str">
        <v>とても丁寧にアドバイスいただき、初めての React 学習でしたが自信を持つことができました。
今後は中級にも取り組む予定ですので、また機会がありましたらよろしくお願いいたします。</v>
      </c>
      <c r="P96" s="19">
        <f t="shared" si="0"/>
        <v>45987</v>
      </c>
    </row>
    <row r="97" spans="1:16" ht="13.2" x14ac:dyDescent="0.25">
      <c r="A97" s="18">
        <v>45988.65271461806</v>
      </c>
      <c r="B97" s="8" t="str">
        <v>001335</v>
      </c>
      <c r="C97" s="8" t="str">
        <v>福岡駿</v>
      </c>
      <c r="D97" s="8" t="str">
        <v>フロントエンドエンジニア実践研修(Vue.js) 初級編</v>
      </c>
      <c r="E97" s="8" t="str">
        <v>長沢 宏彦</v>
      </c>
      <c r="F97" s="8">
        <v>3</v>
      </c>
      <c r="G97" s="8">
        <v>3</v>
      </c>
      <c r="H97" s="8">
        <v>4</v>
      </c>
      <c r="I97" s="8">
        <v>3</v>
      </c>
      <c r="J97" s="8">
        <v>3</v>
      </c>
      <c r="K97" s="8">
        <v>4</v>
      </c>
      <c r="L97" s="8">
        <v>4</v>
      </c>
      <c r="M97" s="8" t="str">
        <v>ある</v>
      </c>
      <c r="N97" s="8" t="str">
        <v>Vueの基礎的な内容を用いて一つ動くものを作ることができとても良い経験になりました</v>
      </c>
      <c r="O97" s="8" t="str">
        <v>本研修の対応部分だけでなく実務観点でどう拡張していくと良いか教えていただきとても参考になりました</v>
      </c>
      <c r="P97" s="19">
        <f t="shared" si="0"/>
        <v>45988</v>
      </c>
    </row>
    <row r="98" spans="1:16" ht="13.2" x14ac:dyDescent="0.25">
      <c r="A98" s="18">
        <v>45989.545495034719</v>
      </c>
      <c r="B98" s="8">
        <v>1328</v>
      </c>
      <c r="C98" s="8" t="str">
        <v>山本 豪</v>
      </c>
      <c r="D98" s="8" t="str">
        <v>フロントエンドエンジニア実践研修(Vue.js) 中級編</v>
      </c>
      <c r="E98" s="8" t="str">
        <v>長沢 宏彦</v>
      </c>
      <c r="F98" s="8">
        <v>3</v>
      </c>
      <c r="G98" s="8">
        <v>3</v>
      </c>
      <c r="H98" s="8">
        <v>4</v>
      </c>
      <c r="I98" s="8">
        <v>3</v>
      </c>
      <c r="J98" s="8">
        <v>3</v>
      </c>
      <c r="K98" s="8">
        <v>4</v>
      </c>
      <c r="L98" s="8">
        <v>4</v>
      </c>
      <c r="M98" s="8" t="str">
        <v>ある</v>
      </c>
      <c r="N98" s="8" t="str">
        <v>学びの機会を与えていただける大変有意義な研修になっています。スケジュール調整や申請方法等で運営の方（特に張さん）が大変そうですが、すぐにレスポンスいただけて大変助かりました。ありがとうございました。</v>
      </c>
      <c r="O98" s="8" t="str">
        <v>フィードバックでは実践するにあたって注意すべき点をご説明いただき、大変役に立ちました、ありがとうございました。</v>
      </c>
      <c r="P98" s="19">
        <f t="shared" si="0"/>
        <v>45989</v>
      </c>
    </row>
    <row r="99" spans="1:16" ht="13.2" x14ac:dyDescent="0.25">
      <c r="A99" s="18">
        <v>45989.651768344906</v>
      </c>
      <c r="B99" s="8">
        <v>1230</v>
      </c>
      <c r="C99" s="8" t="str">
        <v>横山 奏人</v>
      </c>
      <c r="D99" s="8" t="str">
        <v>バックエンドエンジニア実践研修(PHP) 中級編</v>
      </c>
      <c r="E99" s="8" t="str">
        <v>長沢 宏彦</v>
      </c>
      <c r="F99" s="8">
        <v>3</v>
      </c>
      <c r="G99" s="8">
        <v>4</v>
      </c>
      <c r="H99" s="8">
        <v>3</v>
      </c>
      <c r="I99" s="8">
        <v>4</v>
      </c>
      <c r="J99" s="8">
        <v>3</v>
      </c>
      <c r="K99" s="8">
        <v>4</v>
      </c>
      <c r="L99" s="8">
        <v>4</v>
      </c>
      <c r="M99" s="8" t="str">
        <v>ある</v>
      </c>
      <c r="N99" s="8" t="str">
        <v>今回の成果物に関してですが、TODOアプリの実装は配属先の研修と類似していたため、受講者側で作成する成果物を複数から選択する方針もいいかもしれないと感じました。</v>
      </c>
      <c r="O99" s="8" t="str">
        <v>この度は成果物の確認およびフィードバックの実施をいただき、誠にありがとうございました。
短い時間ではありましたが、成果物だけでなく、開発エンジニアとしてキャリアを進める上で疑問や不安に感じていたことについてもお話を聞いていただけて良かったです。
引き続き精進していきます。ありがとうございました。</v>
      </c>
      <c r="P99" s="19">
        <f t="shared" si="0"/>
        <v>45989</v>
      </c>
    </row>
    <row r="100" spans="1:16" ht="13.2" x14ac:dyDescent="0.25">
      <c r="A100" s="18">
        <v>45994.697079571764</v>
      </c>
      <c r="B100" s="8">
        <v>1240</v>
      </c>
      <c r="C100" s="8" t="str">
        <v>谷本佳史</v>
      </c>
      <c r="D100" s="8" t="str">
        <v>クラウドインフラエンジニア実践研修(AWS) 中級編</v>
      </c>
      <c r="E100" s="8" t="str">
        <v>天野 盛介</v>
      </c>
      <c r="F100" s="8">
        <v>2</v>
      </c>
      <c r="G100" s="8">
        <v>3</v>
      </c>
      <c r="H100" s="8">
        <v>3</v>
      </c>
      <c r="I100" s="8">
        <v>3</v>
      </c>
      <c r="J100" s="8">
        <v>3</v>
      </c>
      <c r="K100" s="8">
        <v>2</v>
      </c>
      <c r="L100" s="8">
        <v>3</v>
      </c>
      <c r="M100" s="8" t="str">
        <v>分からない</v>
      </c>
      <c r="N100" s="8" t="str">
        <v>時間がない中だったが、AI活用や資料の丁寧さ、スタッフの皆さんのフォローが充実していて達成できました。ありがとうございました。</v>
      </c>
      <c r="O100" s="8" t="str">
        <v>面談当日、講師の方が時間の勘違いで遅刻されていたので、気をつけた方がいいかと思いました。また、終了時間もこちらから伝えないと意識してなさそうだったのは、よろしくないかと思いました。質問内容については、ややこしい質問にも真摯にお答えいただいたように感じます。</v>
      </c>
      <c r="P100" s="19">
        <f t="shared" si="0"/>
        <v>45994</v>
      </c>
    </row>
    <row r="101" spans="1:16" ht="13.2" x14ac:dyDescent="0.25">
      <c r="A101" s="18">
        <v>45994.744624143517</v>
      </c>
      <c r="B101" s="8">
        <v>1229</v>
      </c>
      <c r="C101" s="8" t="str">
        <v>山本麗</v>
      </c>
      <c r="D101" s="8" t="str">
        <v>クラウドインフラエンジニア実践研修(AWS) 中級編</v>
      </c>
      <c r="E101" s="8" t="str">
        <v>天野 盛介</v>
      </c>
      <c r="F101" s="8">
        <v>4</v>
      </c>
      <c r="G101" s="8">
        <v>4</v>
      </c>
      <c r="H101" s="8">
        <v>4</v>
      </c>
      <c r="I101" s="8">
        <v>4</v>
      </c>
      <c r="J101" s="8">
        <v>4</v>
      </c>
      <c r="K101" s="8">
        <v>4</v>
      </c>
      <c r="L101" s="8">
        <v>4</v>
      </c>
      <c r="M101" s="8" t="str">
        <v>ある</v>
      </c>
      <c r="N101" s="8" t="str">
        <v>コンテナ以外の知識も身につけられる充実した研修でした。</v>
      </c>
      <c r="O101" s="8" t="str">
        <v>私の質疑に対してとてもスマートに回答していただきありがとうございました。</v>
      </c>
      <c r="P101" s="19">
        <f t="shared" si="0"/>
        <v>45994</v>
      </c>
    </row>
    <row r="102" spans="1:16" ht="13.2" x14ac:dyDescent="0.25">
      <c r="A102" s="18">
        <v>45995.448927592588</v>
      </c>
      <c r="B102" s="8" t="str">
        <v>001436</v>
      </c>
      <c r="C102" s="8" t="str">
        <v>小宮 愛子</v>
      </c>
      <c r="D102" s="8" t="str">
        <v>クラウドインフラエンジニア実践研修(AWS) 中級編</v>
      </c>
      <c r="E102" s="8" t="str">
        <v>天野 盛介</v>
      </c>
      <c r="F102" s="8">
        <v>3</v>
      </c>
      <c r="G102" s="8">
        <v>3</v>
      </c>
      <c r="H102" s="8">
        <v>3</v>
      </c>
      <c r="I102" s="8">
        <v>3</v>
      </c>
      <c r="J102" s="8">
        <v>3</v>
      </c>
      <c r="K102" s="8">
        <v>2</v>
      </c>
      <c r="L102" s="8">
        <v>3</v>
      </c>
      <c r="M102" s="8" t="str">
        <v>ある</v>
      </c>
      <c r="N102" s="8" t="str">
        <v>作業手順書においては、何のためにこの作業をするのか、目的などをもう少し細かい記載がああると親切だと感じた。また、</v>
      </c>
      <c r="O102" s="8" t="str">
        <v>成果物として提出するチェックシートですが、面談時にしっかりみていないのかな？と感じ、提出する意味はあったのか少し疑問に思いました。</v>
      </c>
      <c r="P102" s="19">
        <f t="shared" si="0"/>
        <v>45995</v>
      </c>
    </row>
    <row r="103" spans="1:16" ht="13.2" x14ac:dyDescent="0.25">
      <c r="A103" s="18">
        <v>46001.553466307872</v>
      </c>
      <c r="B103" s="8">
        <v>746</v>
      </c>
      <c r="C103" s="8" t="str">
        <v>冨田和也</v>
      </c>
      <c r="D103" s="8" t="str">
        <v>クラウドインフラエンジニア実践研修(AWS) 中級編</v>
      </c>
      <c r="E103" s="8" t="str">
        <v>天野 盛介</v>
      </c>
      <c r="F103" s="8">
        <v>4</v>
      </c>
      <c r="G103" s="8">
        <v>4</v>
      </c>
      <c r="H103" s="8">
        <v>4</v>
      </c>
      <c r="I103" s="8">
        <v>4</v>
      </c>
      <c r="J103" s="8">
        <v>3</v>
      </c>
      <c r="K103" s="8">
        <v>4</v>
      </c>
      <c r="L103" s="8">
        <v>4</v>
      </c>
      <c r="M103" s="8" t="str">
        <v>ある</v>
      </c>
      <c r="N103" s="8" t="str">
        <v>特になし</v>
      </c>
      <c r="O103" s="8" t="str">
        <v>特になし</v>
      </c>
      <c r="P103" s="19">
        <f t="shared" si="0"/>
        <v>46001</v>
      </c>
    </row>
    <row r="104" spans="1:16" ht="13.2" x14ac:dyDescent="0.25">
      <c r="A104" s="18">
        <v>46001.610247824079</v>
      </c>
      <c r="B104" s="8" t="str">
        <v>000977</v>
      </c>
      <c r="C104" s="8" t="str">
        <v>田村直也</v>
      </c>
      <c r="D104" s="8" t="str">
        <v>クラウドインフラエンジニア実践研修(AWS) 中級編</v>
      </c>
      <c r="E104" s="8" t="str">
        <v>天野 盛介</v>
      </c>
      <c r="F104" s="8">
        <v>3</v>
      </c>
      <c r="G104" s="8">
        <v>3</v>
      </c>
      <c r="H104" s="8">
        <v>3</v>
      </c>
      <c r="I104" s="8">
        <v>3</v>
      </c>
      <c r="J104" s="8">
        <v>3</v>
      </c>
      <c r="K104" s="8">
        <v>3</v>
      </c>
      <c r="L104" s="8">
        <v>3</v>
      </c>
      <c r="M104" s="8" t="str">
        <v>ある</v>
      </c>
      <c r="N104" s="8" t="str">
        <v>インフラはなかなか自分で手を動かすのはハードルがあったため勉強になった</v>
      </c>
      <c r="O104" s="8" t="str">
        <v>特になし</v>
      </c>
      <c r="P104" s="19">
        <f t="shared" si="0"/>
        <v>46001</v>
      </c>
    </row>
    <row r="105" spans="1:16" ht="13.2" x14ac:dyDescent="0.25">
      <c r="A105" s="18">
        <v>46001.657122719902</v>
      </c>
      <c r="B105" s="8">
        <v>1429</v>
      </c>
      <c r="C105" s="8" t="str">
        <v>成岡 匠</v>
      </c>
      <c r="D105" s="8" t="str">
        <v>クラウドインフラエンジニア実践研修(AWS) 中級編</v>
      </c>
      <c r="E105" s="8" t="str">
        <v>天野 盛介</v>
      </c>
      <c r="F105" s="8">
        <v>4</v>
      </c>
      <c r="G105" s="8">
        <v>4</v>
      </c>
      <c r="H105" s="8">
        <v>3</v>
      </c>
      <c r="I105" s="8">
        <v>4</v>
      </c>
      <c r="J105" s="8">
        <v>3</v>
      </c>
      <c r="K105" s="8">
        <v>4</v>
      </c>
      <c r="L105" s="8">
        <v>4</v>
      </c>
      <c r="M105" s="8" t="str">
        <v>ある</v>
      </c>
      <c r="N105" s="8" t="str">
        <v>普段触らないような領域を経験できてよかったです。</v>
      </c>
      <c r="O105" s="8" t="str">
        <v>親切に対応してくださいました。ありがとうざいました。</v>
      </c>
      <c r="P105" s="19">
        <f t="shared" si="0"/>
        <v>46001</v>
      </c>
    </row>
    <row r="106" spans="1:16" ht="13.2" x14ac:dyDescent="0.25">
      <c r="A106" s="18">
        <v>46001.681995729166</v>
      </c>
      <c r="B106" s="8">
        <v>581</v>
      </c>
      <c r="C106" s="8" t="str">
        <v>亀田奈々子</v>
      </c>
      <c r="D106" s="8" t="str">
        <v>クラウドインフラエンジニア実践研修(AWS) 中級編</v>
      </c>
      <c r="E106" s="8" t="str">
        <v>天野 盛介</v>
      </c>
      <c r="F106" s="8">
        <v>4</v>
      </c>
      <c r="G106" s="8">
        <v>4</v>
      </c>
      <c r="H106" s="8">
        <v>4</v>
      </c>
      <c r="I106" s="8">
        <v>4</v>
      </c>
      <c r="J106" s="8">
        <v>3</v>
      </c>
      <c r="K106" s="8">
        <v>4</v>
      </c>
      <c r="L106" s="8">
        <v>4</v>
      </c>
      <c r="M106" s="8" t="str">
        <v>ある</v>
      </c>
      <c r="N106" s="8" t="str">
        <v>インフラ領域を主担当としていますが、アプリケーションのビルドやコード管理まで踏み込んで学習できたのが非常に良かったです。 逆にアプリケーション担当の方が受講しても、サーバー構成やネットワークなどのインフラ知識を体系的に習得できるため、職種を問わず非常に学びの多い研修だと思います。</v>
      </c>
      <c r="O106" s="8" t="str">
        <v>CognitoやAPIGatewayの理解が浅いのでそちらの研修も用意していただけると嬉しいです。</v>
      </c>
      <c r="P106" s="19">
        <f t="shared" si="0"/>
        <v>46001</v>
      </c>
    </row>
    <row r="107" spans="1:16" ht="13.2" x14ac:dyDescent="0.25">
      <c r="A107" s="18">
        <v>46003.797009016205</v>
      </c>
      <c r="B107" s="8">
        <v>1422</v>
      </c>
      <c r="C107" s="8" t="str">
        <v>吉田 夢来</v>
      </c>
      <c r="D107" s="8" t="str">
        <v>スマホアプリエンジニア実践研修 初級編</v>
      </c>
      <c r="E107" s="8" t="str">
        <v>上村 直也</v>
      </c>
      <c r="F107" s="8">
        <v>4</v>
      </c>
      <c r="G107" s="8">
        <v>3</v>
      </c>
      <c r="H107" s="8">
        <v>4</v>
      </c>
      <c r="I107" s="8">
        <v>4</v>
      </c>
      <c r="J107" s="8">
        <v>4</v>
      </c>
      <c r="K107" s="8">
        <v>4</v>
      </c>
      <c r="L107" s="8">
        <v>4</v>
      </c>
      <c r="M107" s="8" t="str">
        <v>ある</v>
      </c>
      <c r="N107" s="8" t="str">
        <v>実践研修の課題を通して、Flutterに関する基礎的な知識と技術を体系的に学ぶことができました。</v>
      </c>
      <c r="O107" s="8" t="str">
        <v>1on1フィードバックを通してflutter課題を進める中での気になる点だけでなく、業務におけるAI利用などについても知識についても深めることができ、大変勉強になりました。</v>
      </c>
      <c r="P107" s="19">
        <f t="shared" si="0"/>
        <v>46003</v>
      </c>
    </row>
    <row r="108" spans="1:16" ht="13.2" x14ac:dyDescent="0.25">
      <c r="A108" s="18">
        <v>46006.493615844913</v>
      </c>
      <c r="B108" s="8">
        <v>698</v>
      </c>
      <c r="C108" s="8" t="str">
        <v>須永 康介</v>
      </c>
      <c r="D108" s="8" t="str">
        <v>フロントエンドエンジニア実践研修(React) 中級編</v>
      </c>
      <c r="E108" s="8" t="str">
        <v>柴﨑 良平</v>
      </c>
      <c r="F108" s="8">
        <v>4</v>
      </c>
      <c r="G108" s="8">
        <v>3</v>
      </c>
      <c r="H108" s="8">
        <v>4</v>
      </c>
      <c r="I108" s="8">
        <v>4</v>
      </c>
      <c r="J108" s="8">
        <v>4</v>
      </c>
      <c r="K108" s="8">
        <v>4</v>
      </c>
      <c r="L108" s="8">
        <v>4</v>
      </c>
      <c r="M108" s="8" t="str">
        <v>ある</v>
      </c>
      <c r="N108" s="8" t="str">
        <v>実践的な内容で、実務でも試してみたいと思いました。学習内容のさらに応用や発展的な実装例もあると、今後のスキルアップの指針として役に立つのではないかと思いました。</v>
      </c>
      <c r="O108" s="8" t="str">
        <v>丁寧でわかりやすいフィードバックをいただけました。</v>
      </c>
      <c r="P108" s="19">
        <f t="shared" si="0"/>
        <v>46006</v>
      </c>
    </row>
    <row r="109" spans="1:16" ht="13.2" x14ac:dyDescent="0.25">
      <c r="A109" s="18">
        <v>46009.58410521991</v>
      </c>
      <c r="B109" s="8">
        <v>1048</v>
      </c>
      <c r="C109" s="8" t="str">
        <v>長谷 優作</v>
      </c>
      <c r="D109" s="8" t="str">
        <v>フロントエンドエンジニア実践研修(React) 中級編</v>
      </c>
      <c r="E109" s="8" t="str">
        <v>柴﨑 良平</v>
      </c>
      <c r="F109" s="8">
        <v>4</v>
      </c>
      <c r="G109" s="8">
        <v>4</v>
      </c>
      <c r="H109" s="8">
        <v>4</v>
      </c>
      <c r="I109" s="8">
        <v>4</v>
      </c>
      <c r="J109" s="8">
        <v>4</v>
      </c>
      <c r="K109" s="8">
        <v>4</v>
      </c>
      <c r="L109" s="8">
        <v>4</v>
      </c>
      <c r="M109" s="8" t="str">
        <v>ある</v>
      </c>
      <c r="N109" s="8" t="str">
        <v>ありがとうございました！</v>
      </c>
      <c r="O109" s="8" t="str">
        <v>ありがとうございました！</v>
      </c>
      <c r="P109" s="19">
        <f t="shared" si="0"/>
        <v>46009</v>
      </c>
    </row>
    <row r="110" spans="1:16" ht="13.2" x14ac:dyDescent="0.25">
      <c r="A110" s="18">
        <v>46009.614197951392</v>
      </c>
      <c r="B110" s="8">
        <v>1042</v>
      </c>
      <c r="C110" s="8" t="str">
        <v>坂井田啓太</v>
      </c>
      <c r="D110" s="8" t="str">
        <v>フロントエンドエンジニア実践研修(React) 中級編</v>
      </c>
      <c r="E110" s="8" t="str">
        <v>柴﨑 良平</v>
      </c>
      <c r="F110" s="8">
        <v>4</v>
      </c>
      <c r="G110" s="8">
        <v>3</v>
      </c>
      <c r="H110" s="8">
        <v>4</v>
      </c>
      <c r="I110" s="8">
        <v>4</v>
      </c>
      <c r="J110" s="8">
        <v>4</v>
      </c>
      <c r="K110" s="8">
        <v>4</v>
      </c>
      <c r="L110" s="8">
        <v>4</v>
      </c>
      <c r="M110" s="8" t="str">
        <v>分からない</v>
      </c>
      <c r="N110" s="8" t="str">
        <v>Next.jsとReduxでモダンな開発技術を体系的に学べました。</v>
      </c>
      <c r="O110" s="8" t="str">
        <v>こちらの回線状況が悪く、お時間を取らせてしまい申し訳ありませんでした。
そのような中でも、コードレビューや実際の動作確認、また質問事項についても丁寧にご対応いただき、ありがとうございました。</v>
      </c>
      <c r="P110" s="19">
        <f t="shared" si="0"/>
        <v>46009</v>
      </c>
    </row>
    <row r="111" spans="1:16" ht="13.2" x14ac:dyDescent="0.25">
      <c r="A111" s="18">
        <v>46009.633976851852</v>
      </c>
      <c r="B111" s="8">
        <v>406</v>
      </c>
      <c r="C111" s="8" t="str">
        <v>佐山 次巳</v>
      </c>
      <c r="D111" s="8" t="str">
        <v>フロントエンドエンジニア実践研修(React) 中級編</v>
      </c>
      <c r="E111" s="8" t="str">
        <v>柴﨑 良平</v>
      </c>
      <c r="F111" s="8">
        <v>4</v>
      </c>
      <c r="G111" s="8">
        <v>3</v>
      </c>
      <c r="H111" s="8">
        <v>4</v>
      </c>
      <c r="I111" s="8">
        <v>3</v>
      </c>
      <c r="J111" s="8">
        <v>4</v>
      </c>
      <c r="K111" s="8">
        <v>4</v>
      </c>
      <c r="L111" s="8">
        <v>4</v>
      </c>
      <c r="M111" s="8" t="str">
        <v>ある</v>
      </c>
      <c r="N111" s="8" t="str">
        <v>テストの部分について、テストファイルを __tests__ フォルダに配置する方法が最初に紹介されていますが、テストファイルを専用のフォルダに集めて管理する方法も教えて頂けると良かった。</v>
      </c>
      <c r="O111" s="8" t="str">
        <v>丁寧に解説と不明点に答えて頂き、助かりました。</v>
      </c>
      <c r="P111" s="19">
        <f t="shared" si="0"/>
        <v>46009</v>
      </c>
    </row>
    <row r="112" spans="1:16" ht="13.2" x14ac:dyDescent="0.25">
      <c r="A112" s="18">
        <v>46009.812457928245</v>
      </c>
      <c r="B112" s="8">
        <v>982</v>
      </c>
      <c r="C112" s="8" t="str">
        <v>齋藤佑樹</v>
      </c>
      <c r="D112" s="8" t="str">
        <v>フロントエンドエンジニア実践研修(React) 中級編</v>
      </c>
      <c r="E112" s="8" t="str">
        <v>柴﨑 良平</v>
      </c>
      <c r="F112" s="8">
        <v>3</v>
      </c>
      <c r="G112" s="8">
        <v>2</v>
      </c>
      <c r="H112" s="8">
        <v>3</v>
      </c>
      <c r="I112" s="8">
        <v>3</v>
      </c>
      <c r="J112" s="8">
        <v>3</v>
      </c>
      <c r="K112" s="8">
        <v>3</v>
      </c>
      <c r="L112" s="8">
        <v>3</v>
      </c>
      <c r="M112" s="8" t="str">
        <v>ある</v>
      </c>
      <c r="N112" s="8" t="str">
        <v>実際のプロジェクトで活かせる内容だと感じました。</v>
      </c>
      <c r="O112" s="8" t="str">
        <v>拡張機能を教えていただけてよかったです。ありがとうございました。</v>
      </c>
      <c r="P112" s="19">
        <f t="shared" si="0"/>
        <v>46009</v>
      </c>
    </row>
    <row r="113" spans="1:16" ht="13.2" x14ac:dyDescent="0.25">
      <c r="A113" s="18">
        <v>46010.609673726853</v>
      </c>
      <c r="B113" s="8">
        <v>149</v>
      </c>
      <c r="C113" s="8" t="str">
        <v>鶴若大輔</v>
      </c>
      <c r="D113" s="8" t="str">
        <v>フロントエンドエンジニア実践研修(React) 中級編</v>
      </c>
      <c r="E113" s="8" t="str">
        <v>柴﨑 良平</v>
      </c>
      <c r="F113" s="8">
        <v>3</v>
      </c>
      <c r="G113" s="8">
        <v>4</v>
      </c>
      <c r="H113" s="8">
        <v>4</v>
      </c>
      <c r="I113" s="8">
        <v>4</v>
      </c>
      <c r="J113" s="8">
        <v>2</v>
      </c>
      <c r="K113" s="8">
        <v>4</v>
      </c>
      <c r="L113" s="8">
        <v>4</v>
      </c>
      <c r="M113" s="8" t="str">
        <v>ある</v>
      </c>
      <c r="N113" s="8" t="str">
        <v>教材のテキストをコピー＆ペーストすると変な部分で改行が入るので項目をチェックしつつ作業をする時にやりにくかった</v>
      </c>
      <c r="O113" s="8" t="str">
        <v>特になし</v>
      </c>
      <c r="P113" s="19">
        <f t="shared" si="0"/>
        <v>46010</v>
      </c>
    </row>
    <row r="114" spans="1:16" ht="13.2" x14ac:dyDescent="0.25">
      <c r="A114" s="18">
        <v>46073.725928819447</v>
      </c>
      <c r="B114" s="8">
        <v>1347</v>
      </c>
      <c r="C114" s="8" t="str">
        <v>菊地修司</v>
      </c>
      <c r="D114" s="8" t="str">
        <v>クラウドインフラエンジニア実践研修(AWS) 初級編</v>
      </c>
      <c r="E114" s="8" t="str">
        <v>小野 広平</v>
      </c>
      <c r="F114" s="8">
        <v>2</v>
      </c>
      <c r="G114" s="8">
        <v>4</v>
      </c>
      <c r="H114" s="8">
        <v>4</v>
      </c>
      <c r="I114" s="8">
        <v>3</v>
      </c>
      <c r="J114" s="8">
        <v>2</v>
      </c>
      <c r="K114" s="8">
        <v>2</v>
      </c>
      <c r="L114" s="8">
        <v>2</v>
      </c>
      <c r="M114" s="8" t="str">
        <v>ある</v>
      </c>
      <c r="N114" s="8" t="str">
        <v>フィードバック時にお伝えした通りです</v>
      </c>
      <c r="O114" s="8" t="str">
        <v>特になし</v>
      </c>
      <c r="P114" s="19">
        <f t="shared" si="0"/>
        <v>46073</v>
      </c>
    </row>
    <row r="115" spans="1:16" ht="13.2" x14ac:dyDescent="0.25">
      <c r="A115" s="18">
        <v>46077.631158009259</v>
      </c>
      <c r="B115" s="8" t="str">
        <v>001336</v>
      </c>
      <c r="C115" s="8" t="str">
        <v>水野 雄貴</v>
      </c>
      <c r="D115" s="8" t="str">
        <v>クラウドインフラエンジニア実践研修(AWS) 初級編</v>
      </c>
      <c r="E115" s="8" t="str">
        <v>小野 広平</v>
      </c>
      <c r="F115" s="8">
        <v>4</v>
      </c>
      <c r="G115" s="8">
        <v>4</v>
      </c>
      <c r="H115" s="8">
        <v>4</v>
      </c>
      <c r="I115" s="8">
        <v>4</v>
      </c>
      <c r="J115" s="8">
        <v>4</v>
      </c>
      <c r="K115" s="8">
        <v>4</v>
      </c>
      <c r="L115" s="8">
        <v>4</v>
      </c>
      <c r="M115" s="8" t="str">
        <v>ある</v>
      </c>
      <c r="N115" s="8" t="str">
        <v>CFnとTerraformの両方のIaCを学べるのは非常に良い経験になりました。</v>
      </c>
      <c r="O115" s="8" t="str">
        <v>疑問点についてもお答えしていただけたので分かりやすかったです。</v>
      </c>
      <c r="P115" s="19">
        <f t="shared" si="0"/>
        <v>46077</v>
      </c>
    </row>
    <row r="116" spans="1:16" ht="13.2" x14ac:dyDescent="0.25">
      <c r="A116" s="18">
        <v>46077.675472847222</v>
      </c>
      <c r="B116" s="8">
        <v>1223</v>
      </c>
      <c r="C116" s="8" t="str">
        <v>水野 永遠</v>
      </c>
      <c r="D116" s="8" t="str">
        <v>クラウドインフラエンジニア実践研修(AWS) 初級編</v>
      </c>
      <c r="E116" s="8" t="str">
        <v>小野 広平</v>
      </c>
      <c r="F116" s="8">
        <v>3</v>
      </c>
      <c r="G116" s="8">
        <v>4</v>
      </c>
      <c r="H116" s="8">
        <v>3</v>
      </c>
      <c r="I116" s="8">
        <v>3</v>
      </c>
      <c r="J116" s="8">
        <v>3</v>
      </c>
      <c r="K116" s="8">
        <v>3</v>
      </c>
      <c r="L116" s="8">
        <v>3</v>
      </c>
      <c r="M116" s="8" t="str">
        <v>ある</v>
      </c>
      <c r="N116" s="8" t="str">
        <v>AWSを扱うインフラエンジニアとしての基礎的な知識を網羅できたと感じます
CloudWatchを使用したメトリクスに応じてアラートを発報するという経験を積むことができたのは今後役に立つ可能性があると感じました。</v>
      </c>
      <c r="O116" s="8" t="str">
        <v>特にないです。</v>
      </c>
      <c r="P116" s="19">
        <f t="shared" si="0"/>
        <v>46077</v>
      </c>
    </row>
    <row r="117" spans="1:16" ht="13.2" x14ac:dyDescent="0.25">
      <c r="A117" s="18">
        <v>46077.719543738422</v>
      </c>
      <c r="B117" s="8">
        <v>1203</v>
      </c>
      <c r="C117" s="8" t="str">
        <v>佐久間陵河</v>
      </c>
      <c r="D117" s="8" t="str">
        <v>クラウドインフラエンジニア実践研修(AWS) 初級編</v>
      </c>
      <c r="E117" s="8" t="str">
        <v>小野 広平</v>
      </c>
      <c r="F117" s="8">
        <v>4</v>
      </c>
      <c r="G117" s="8">
        <v>4</v>
      </c>
      <c r="H117" s="8">
        <v>4</v>
      </c>
      <c r="I117" s="8">
        <v>4</v>
      </c>
      <c r="J117" s="8">
        <v>4</v>
      </c>
      <c r="K117" s="8">
        <v>4</v>
      </c>
      <c r="L117" s="8">
        <v>4</v>
      </c>
      <c r="M117" s="8" t="str">
        <v>ある</v>
      </c>
      <c r="N117" s="8" t="str">
        <v>普段実務で経験できないようなリソースを扱えたことが良かったです。</v>
      </c>
      <c r="O117" s="8" t="str">
        <v>Wordpressを使用したwebサイトをホストする方法以外にも、S3を使用してホストする手法が主流になってきているといった情報を教えていただいたので調べてみようと思いました。</v>
      </c>
      <c r="P117" s="19">
        <f t="shared" si="0"/>
        <v>46077</v>
      </c>
    </row>
    <row r="118" spans="1:16" ht="13.2" x14ac:dyDescent="0.25">
      <c r="A118" s="18">
        <v>46080.591019409723</v>
      </c>
      <c r="B118" s="8">
        <v>1049</v>
      </c>
      <c r="C118" s="8" t="str">
        <v>永畑 潤也</v>
      </c>
      <c r="D118" s="8" t="str">
        <v>クラウドインフラエンジニア実践研修(AWS) 中級編</v>
      </c>
      <c r="E118" s="8" t="str">
        <v>小野 広平</v>
      </c>
      <c r="F118" s="8">
        <v>4</v>
      </c>
      <c r="G118" s="8">
        <v>4</v>
      </c>
      <c r="H118" s="8">
        <v>4</v>
      </c>
      <c r="I118" s="8">
        <v>4</v>
      </c>
      <c r="J118" s="8">
        <v>4</v>
      </c>
      <c r="K118" s="8">
        <v>4</v>
      </c>
      <c r="L118" s="8">
        <v>4</v>
      </c>
      <c r="M118" s="8" t="str">
        <v>ある</v>
      </c>
      <c r="N118" s="8" t="str">
        <v>特にありません。</v>
      </c>
      <c r="O118" s="8" t="str">
        <v>本日はFBを頂きまして、ありがとうございました。</v>
      </c>
      <c r="P118" s="19">
        <f t="shared" si="0"/>
        <v>46080</v>
      </c>
    </row>
    <row r="119" spans="1:16" ht="13.2" x14ac:dyDescent="0.25">
      <c r="A119" s="18">
        <v>46080.63925818287</v>
      </c>
      <c r="B119" s="8">
        <v>932</v>
      </c>
      <c r="C119" s="8" t="str">
        <v>藤原宏美</v>
      </c>
      <c r="D119" s="8" t="str">
        <v>クラウドインフラエンジニア実践研修(AWS) 中級編</v>
      </c>
      <c r="E119" s="8" t="str">
        <v>小野 広平</v>
      </c>
      <c r="F119" s="8">
        <v>4</v>
      </c>
      <c r="G119" s="8">
        <v>4</v>
      </c>
      <c r="H119" s="8">
        <v>4</v>
      </c>
      <c r="I119" s="8">
        <v>4</v>
      </c>
      <c r="J119" s="8">
        <v>3</v>
      </c>
      <c r="K119" s="8">
        <v>4</v>
      </c>
      <c r="L119" s="8">
        <v>4</v>
      </c>
      <c r="M119" s="8" t="str">
        <v>ある</v>
      </c>
      <c r="N119" s="8" t="str">
        <v>期日が短めだと感じました。</v>
      </c>
      <c r="O119" s="8" t="str">
        <v>より突っ込んだ技術的な説明をいただけて良かったです。</v>
      </c>
      <c r="P119" s="19">
        <f t="shared" si="0"/>
        <v>46080</v>
      </c>
    </row>
    <row r="120" spans="1:16" ht="26.4" x14ac:dyDescent="0.25">
      <c r="A120" s="18">
        <v>46086.755598587959</v>
      </c>
      <c r="B120" s="8" t="str">
        <v>0109</v>
      </c>
      <c r="C120" s="8" t="str">
        <v>永岡鼓子</v>
      </c>
      <c r="D120" s="8" t="str">
        <v>プロジェクトマネージャー実践研修</v>
      </c>
      <c r="E120" s="8" t="str">
        <v>永谷 裕子</v>
      </c>
      <c r="F120" s="8">
        <v>4</v>
      </c>
      <c r="G120" s="8">
        <v>4</v>
      </c>
      <c r="H120" s="8">
        <v>4</v>
      </c>
      <c r="I120" s="8">
        <v>4</v>
      </c>
      <c r="J120" s="8">
        <v>4</v>
      </c>
      <c r="K120" s="8">
        <v>4</v>
      </c>
      <c r="L120" s="8">
        <v>4</v>
      </c>
      <c r="M120" s="8" t="str">
        <v>ある</v>
      </c>
      <c r="N120" s="20" t="str">
        <v>３人チームが1番話のバランス的に良さそうと思いました。</v>
      </c>
      <c r="O120" s="21" t="str">
        <v>ご自身の体験などご経験が豊富でありがたい話を聞けました。</v>
      </c>
      <c r="P120" s="19">
        <f t="shared" si="0"/>
        <v>46086</v>
      </c>
    </row>
    <row r="121" spans="1:16" ht="26.4" x14ac:dyDescent="0.25">
      <c r="A121" s="18">
        <v>46086.755929085644</v>
      </c>
      <c r="B121" s="8">
        <v>1477</v>
      </c>
      <c r="C121" s="8" t="str">
        <v>岩塚春樹</v>
      </c>
      <c r="D121" s="8" t="str">
        <v>プロジェクトマネージャー実践研修</v>
      </c>
      <c r="E121" s="8" t="str">
        <v>永谷 裕子</v>
      </c>
      <c r="F121" s="8">
        <v>4</v>
      </c>
      <c r="G121" s="8">
        <v>4</v>
      </c>
      <c r="H121" s="8">
        <v>4</v>
      </c>
      <c r="I121" s="8">
        <v>4</v>
      </c>
      <c r="J121" s="8">
        <v>4</v>
      </c>
      <c r="K121" s="8">
        <v>4</v>
      </c>
      <c r="L121" s="8">
        <v>4</v>
      </c>
      <c r="M121" s="8" t="str">
        <v>ある</v>
      </c>
      <c r="N121" s="20" t="str">
        <v>豊富な経験と確かな知識に基づいた研修で勉強になった。</v>
      </c>
      <c r="O121" s="21" t="str">
        <v>講師の永谷さんの人柄が良く、研修内容が頭に入りやすかったです。ありがとうございました。</v>
      </c>
      <c r="P121" s="19">
        <f t="shared" si="0"/>
        <v>46086</v>
      </c>
    </row>
    <row r="122" spans="1:16" ht="26.4" x14ac:dyDescent="0.25">
      <c r="A122" s="18">
        <v>46086.756515914356</v>
      </c>
      <c r="B122" s="8">
        <v>1471</v>
      </c>
      <c r="C122" s="8" t="str">
        <v>岩東雄大</v>
      </c>
      <c r="D122" s="8" t="str">
        <v>プロジェクトマネージャー実践研修</v>
      </c>
      <c r="E122" s="8" t="str">
        <v>永谷 裕子</v>
      </c>
      <c r="F122" s="8">
        <v>4</v>
      </c>
      <c r="G122" s="8">
        <v>4</v>
      </c>
      <c r="H122" s="8">
        <v>4</v>
      </c>
      <c r="I122" s="8">
        <v>4</v>
      </c>
      <c r="J122" s="8">
        <v>4</v>
      </c>
      <c r="K122" s="8">
        <v>4</v>
      </c>
      <c r="L122" s="8">
        <v>4</v>
      </c>
      <c r="M122" s="8" t="str">
        <v>ある</v>
      </c>
      <c r="N122" s="20" t="str">
        <v>休憩をもう少しこまめにほしい
aiを使ったpmの進め方も将来学びたい</v>
      </c>
      <c r="O122" s="21" t="str">
        <v>一番苦労したプロジェクトの話などを聞きたいです</v>
      </c>
      <c r="P122" s="19">
        <f t="shared" si="0"/>
        <v>46086</v>
      </c>
    </row>
    <row r="123" spans="1:16" ht="66" x14ac:dyDescent="0.25">
      <c r="A123" s="18">
        <v>46086.756530648148</v>
      </c>
      <c r="B123" s="8">
        <v>444</v>
      </c>
      <c r="C123" s="8" t="str">
        <v>城戸咲恵</v>
      </c>
      <c r="D123" s="8" t="str">
        <v>プロジェクトマネージャー実践研修</v>
      </c>
      <c r="E123" s="8" t="str">
        <v>永谷 裕子</v>
      </c>
      <c r="F123" s="8">
        <v>4</v>
      </c>
      <c r="G123" s="8">
        <v>4</v>
      </c>
      <c r="H123" s="8">
        <v>4</v>
      </c>
      <c r="I123" s="8">
        <v>3</v>
      </c>
      <c r="J123" s="8">
        <v>4</v>
      </c>
      <c r="K123" s="8">
        <v>4</v>
      </c>
      <c r="L123" s="8">
        <v>4</v>
      </c>
      <c r="M123" s="8" t="str">
        <v>ある</v>
      </c>
      <c r="N123" s="20" t="str">
        <v>自分のPMとしての技量や経験に不安があったが、体系的な学びを得ることで、自信や今後の方向性の気づきにつながる大変良い機会でした。</v>
      </c>
      <c r="O123" s="21" t="str">
        <v>永谷講師の経験ベースでの話や、例え話のおかげでより講義の内容の理解が深まりました。今日学んだことを自分のチームのメンバーにも伝えていきたいなと思いました。
ありがとうございました！</v>
      </c>
      <c r="P123" s="19">
        <f t="shared" si="0"/>
        <v>46086</v>
      </c>
    </row>
    <row r="124" spans="1:16" ht="13.2" x14ac:dyDescent="0.25">
      <c r="A124" s="18">
        <v>46086.756583784721</v>
      </c>
      <c r="B124" s="8" t="str">
        <v>001533</v>
      </c>
      <c r="C124" s="8" t="str">
        <v>篠子千春</v>
      </c>
      <c r="D124" s="8" t="str">
        <v>プロジェクトマネージャー実践研修</v>
      </c>
      <c r="E124" s="8" t="str">
        <v>永谷 裕子</v>
      </c>
      <c r="F124" s="8">
        <v>4</v>
      </c>
      <c r="G124" s="8">
        <v>4</v>
      </c>
      <c r="H124" s="8">
        <v>4</v>
      </c>
      <c r="I124" s="8">
        <v>3</v>
      </c>
      <c r="J124" s="8">
        <v>4</v>
      </c>
      <c r="K124" s="8">
        <v>4</v>
      </c>
      <c r="L124" s="8">
        <v>4</v>
      </c>
      <c r="M124" s="8" t="str">
        <v>ある</v>
      </c>
      <c r="N124" s="20" t="str">
        <v>グループワークがあってよかった</v>
      </c>
      <c r="O124" s="21" t="str">
        <v>ウィットに富んでいた方で楽しかった</v>
      </c>
      <c r="P124" s="19">
        <f t="shared" si="0"/>
        <v>46086</v>
      </c>
    </row>
    <row r="125" spans="1:16" ht="52.8" x14ac:dyDescent="0.25">
      <c r="A125" s="18">
        <v>46086.756726087959</v>
      </c>
      <c r="B125" s="8">
        <v>1168</v>
      </c>
      <c r="C125" s="8" t="str">
        <v>濱崎祐輔</v>
      </c>
      <c r="D125" s="8" t="str">
        <v>プロジェクトマネージャー実践研修</v>
      </c>
      <c r="E125" s="8" t="str">
        <v>永谷 裕子</v>
      </c>
      <c r="F125" s="8">
        <v>4</v>
      </c>
      <c r="G125" s="8">
        <v>4</v>
      </c>
      <c r="H125" s="8">
        <v>4</v>
      </c>
      <c r="I125" s="8">
        <v>3</v>
      </c>
      <c r="J125" s="8">
        <v>3</v>
      </c>
      <c r="K125" s="8">
        <v>4</v>
      </c>
      <c r="L125" s="8">
        <v>4</v>
      </c>
      <c r="M125" s="8" t="str">
        <v>ある</v>
      </c>
      <c r="N125" s="20" t="str">
        <v>実践的に使える知識を学ぶことが出来た
規模は小さいがチームを管理する立場なので今回学んだこと、特にコミュニケーションとコントロールの部分に注力したい</v>
      </c>
      <c r="O125" s="21" t="str">
        <v>ご経験踏まえ楽しく、飽きずに2日間学べました
また機会があれば教えて頂きたい思います
今後pmに関する知識を深めるにあたり、気になることはどんどん質問させて頂きます</v>
      </c>
      <c r="P125" s="19">
        <f t="shared" si="0"/>
        <v>46086</v>
      </c>
    </row>
    <row r="126" spans="1:16" ht="52.8" x14ac:dyDescent="0.25">
      <c r="A126" s="18">
        <v>46086.757138761575</v>
      </c>
      <c r="B126" s="8">
        <v>809</v>
      </c>
      <c r="C126" s="8" t="str">
        <v>林田玲音</v>
      </c>
      <c r="D126" s="8" t="str">
        <v>プロジェクトマネージャー実践研修</v>
      </c>
      <c r="E126" s="8" t="str">
        <v>永谷 裕子</v>
      </c>
      <c r="F126" s="8">
        <v>3</v>
      </c>
      <c r="G126" s="8">
        <v>3</v>
      </c>
      <c r="H126" s="8">
        <v>4</v>
      </c>
      <c r="I126" s="8">
        <v>4</v>
      </c>
      <c r="J126" s="8">
        <v>3</v>
      </c>
      <c r="K126" s="8">
        <v>3</v>
      </c>
      <c r="L126" s="8">
        <v>4</v>
      </c>
      <c r="M126" s="8" t="str">
        <v>ある</v>
      </c>
      <c r="N126" s="20" t="str">
        <v>自分自身が何となくで実施していたマネジメントっぽいことを、何が正解か良くなかったのか理解できてとても良かったです。
自分自身がどういうタイプかの理解にも役立ちました。</v>
      </c>
      <c r="O126" s="21" t="str">
        <v>長年の経験から、PMに関する色んな問いに対して回答をいただけたのでとても良かったです。</v>
      </c>
      <c r="P126" s="19">
        <f t="shared" si="0"/>
        <v>46086</v>
      </c>
    </row>
    <row r="127" spans="1:16" ht="52.8" x14ac:dyDescent="0.25">
      <c r="A127" s="18">
        <v>46086.758004490737</v>
      </c>
      <c r="B127" s="8">
        <v>486</v>
      </c>
      <c r="C127" s="8" t="str">
        <v>天野 典昭</v>
      </c>
      <c r="D127" s="8" t="str">
        <v>プロジェクトマネージャー実践研修</v>
      </c>
      <c r="E127" s="8" t="str">
        <v>永谷 裕子</v>
      </c>
      <c r="F127" s="8">
        <v>4</v>
      </c>
      <c r="G127" s="8">
        <v>4</v>
      </c>
      <c r="H127" s="8">
        <v>4</v>
      </c>
      <c r="I127" s="8">
        <v>4</v>
      </c>
      <c r="J127" s="8">
        <v>4</v>
      </c>
      <c r="K127" s="8">
        <v>4</v>
      </c>
      <c r="L127" s="8">
        <v>4</v>
      </c>
      <c r="M127" s="8" t="str">
        <v>ある</v>
      </c>
      <c r="N127" s="20" t="str">
        <v>案件でマネジメントタスクを行うことはありましたが、きちんと学ぶ機会はなかったため、実践のワークを交えてより理解を深めることができたところはよかったと思います。</v>
      </c>
      <c r="O127" s="21" t="str">
        <v>実際の体験談を交えて説明頂いたところはより分かりやすかったと思います。</v>
      </c>
      <c r="P127" s="19">
        <f t="shared" si="0"/>
        <v>46086</v>
      </c>
    </row>
    <row r="128" spans="1:16" ht="39.6" x14ac:dyDescent="0.25">
      <c r="A128" s="18">
        <v>46086.758981319443</v>
      </c>
      <c r="B128" s="8">
        <v>554</v>
      </c>
      <c r="C128" s="8" t="str">
        <v>秋葉大輔</v>
      </c>
      <c r="D128" s="8" t="str">
        <v>プロジェクトマネージャー実践研修</v>
      </c>
      <c r="E128" s="8" t="str">
        <v>永谷 裕子</v>
      </c>
      <c r="F128" s="8">
        <v>4</v>
      </c>
      <c r="G128" s="8">
        <v>4</v>
      </c>
      <c r="H128" s="8">
        <v>4</v>
      </c>
      <c r="I128" s="8">
        <v>4</v>
      </c>
      <c r="J128" s="8">
        <v>3</v>
      </c>
      <c r="K128" s="8">
        <v>4</v>
      </c>
      <c r="L128" s="8">
        <v>4</v>
      </c>
      <c r="M128" s="8" t="str">
        <v>ある</v>
      </c>
      <c r="N128" s="20" t="str">
        <v>開始前は書面での実施に煩わしさを感じていましたが、グループワークなどは楽しくできたので、結果良かったと思いました</v>
      </c>
      <c r="O128" s="21" t="str">
        <v>二日間ありがとうございました！
実際の仕事でも使えそうな知識もいろいろ教えていただき大変参考になりました</v>
      </c>
      <c r="P128" s="19">
        <f t="shared" si="0"/>
        <v>46086</v>
      </c>
    </row>
    <row r="129" spans="1:16" ht="13.2" x14ac:dyDescent="0.25">
      <c r="A129" s="18">
        <v>46093.617895590272</v>
      </c>
      <c r="B129" s="8">
        <v>462</v>
      </c>
      <c r="C129" s="8" t="str">
        <v>野原崇</v>
      </c>
      <c r="D129" s="8" t="str">
        <v>フロントエンドエンジニア実践研修(React) 初級編</v>
      </c>
      <c r="E129" s="8" t="str">
        <v>長沢 宏彦</v>
      </c>
      <c r="F129" s="8">
        <v>3</v>
      </c>
      <c r="G129" s="8">
        <v>3</v>
      </c>
      <c r="H129" s="8">
        <v>3</v>
      </c>
      <c r="I129" s="8">
        <v>3</v>
      </c>
      <c r="J129" s="8">
        <v>3</v>
      </c>
      <c r="K129" s="8">
        <v>3</v>
      </c>
      <c r="L129" s="8">
        <v>3</v>
      </c>
      <c r="M129" s="8" t="str">
        <v>分からない</v>
      </c>
      <c r="N129" s="8" t="str">
        <v>ボリューム感は適切と感じる。</v>
      </c>
      <c r="O129" s="8" t="str">
        <v>色々話せるフレンドリーな雰囲気でよかった。</v>
      </c>
      <c r="P129" s="19">
        <f t="shared" si="0"/>
        <v>46093</v>
      </c>
    </row>
    <row r="130" spans="1:16" ht="13.2" x14ac:dyDescent="0.25">
      <c r="A130" s="18">
        <v>46093.758686770831</v>
      </c>
      <c r="B130" s="8" t="str">
        <v>0625</v>
      </c>
      <c r="C130" s="8" t="str">
        <v>三好真里絵</v>
      </c>
      <c r="D130" s="8" t="str">
        <v>フロントエンドエンジニア実践研修(React) 初級編</v>
      </c>
      <c r="E130" s="8" t="str">
        <v>長沢 宏彦</v>
      </c>
      <c r="F130" s="8">
        <v>4</v>
      </c>
      <c r="G130" s="8">
        <v>4</v>
      </c>
      <c r="H130" s="8">
        <v>4</v>
      </c>
      <c r="I130" s="8">
        <v>4</v>
      </c>
      <c r="J130" s="8">
        <v>4</v>
      </c>
      <c r="K130" s="8">
        <v>4</v>
      </c>
      <c r="L130" s="8">
        <v>4</v>
      </c>
      <c r="M130" s="8" t="str">
        <v>ある</v>
      </c>
      <c r="N130" s="8" t="str">
        <v>個人のペースで学習を進められるスタイルは業務都合と調整しやすくていいと思うのですが、後回しになってしまったり、前回までの学習を忘れてしまったりなどしてなかなかスムーズに学習できなかったタイミングもあったので、
講師とハンズオンで一緒に学んでいく機会や会話・質問しながら進めていくスタイル(短期集中型？)があるといいなと思いました。</v>
      </c>
      <c r="O130" s="8" t="str">
        <v>体裁的なことだけでなく、「実務ではこういったケースが多い」といった情報や、「どうすればこの不備に気づくことができるのか」といったも含めてご教授いただけたので、イメージも掴みやすく、実際の現場で役立つ知識を得ることができました。
単にミスを指摘するだけでなく、実際の現場で経験されてきた方だからこそ、「なかなか気づきにくいところですが、、」「納期が近いとこうしてしまうこともありますが、、」といった形で、生のエンジニアに寄り添った話し方をしていただけたので、安心してフィードバックを受けることができました。
また、なかなか他社のエンジニアの方と会話する機会がないので、課題のフィードバック以外についても会話していただけて大変ありがたかったです。
特に、AIが進化していく中でのこれからのスキルアップ方針についてもお話していただけて、自分の今後の動きを具体的にイメージすることができたのは大きな収穫となり有意義な時間になりました。
その分、30分という時間は短かかったのですが、ご厚意で少し時間を延長していただき、真摯に寄り添って会話をしてくださったこと大変感謝しております。</v>
      </c>
      <c r="P130" s="19">
        <f t="shared" si="0"/>
        <v>46093</v>
      </c>
    </row>
    <row r="131" spans="1:16" ht="13.2" x14ac:dyDescent="0.25">
      <c r="A131" s="18">
        <v>46094.502563796297</v>
      </c>
      <c r="B131" s="8">
        <v>806</v>
      </c>
      <c r="C131" s="8" t="str">
        <v>設楽淳太</v>
      </c>
      <c r="D131" s="8" t="str">
        <v>クラウドインフラエンジニア実践研修(GC) 初級編</v>
      </c>
      <c r="E131" s="8" t="str">
        <v>野川 錦策</v>
      </c>
      <c r="F131" s="8">
        <v>4</v>
      </c>
      <c r="G131" s="8">
        <v>4</v>
      </c>
      <c r="H131" s="8">
        <v>4</v>
      </c>
      <c r="I131" s="8">
        <v>4</v>
      </c>
      <c r="J131" s="8">
        <v>4</v>
      </c>
      <c r="K131" s="8">
        <v>4</v>
      </c>
      <c r="L131" s="8">
        <v>4</v>
      </c>
      <c r="M131" s="8" t="str">
        <v>ある</v>
      </c>
      <c r="N131" s="8" t="str">
        <v>チェックリスト（小テスト）みたいなもので、なぜそうなるかみたいなものがあると理解がさらに深まりそうと思いました。</v>
      </c>
      <c r="O131" s="8" t="str">
        <v>スムーズに対応してもらいました</v>
      </c>
      <c r="P131" s="19">
        <f t="shared" si="0"/>
        <v>46094</v>
      </c>
    </row>
    <row r="132" spans="1:16" ht="13.2" x14ac:dyDescent="0.25">
      <c r="A132" s="18">
        <v>46094.614601851848</v>
      </c>
      <c r="B132" s="8">
        <v>1151</v>
      </c>
      <c r="C132" s="8" t="str">
        <v>大山晃介</v>
      </c>
      <c r="D132" s="8" t="str">
        <v>クラウドインフラエンジニア実践研修(GC) 初級編</v>
      </c>
      <c r="E132" s="8" t="str">
        <v>野川 錦策</v>
      </c>
      <c r="F132" s="8">
        <v>3</v>
      </c>
      <c r="G132" s="8">
        <v>3</v>
      </c>
      <c r="H132" s="8">
        <v>4</v>
      </c>
      <c r="I132" s="8">
        <v>3</v>
      </c>
      <c r="J132" s="8">
        <v>3</v>
      </c>
      <c r="K132" s="8">
        <v>3</v>
      </c>
      <c r="L132" s="8">
        <v>3</v>
      </c>
      <c r="M132" s="8" t="str">
        <v>ある</v>
      </c>
      <c r="N132" s="8" t="str">
        <v>実践的な構成図を作成するという研修で、とても歯ごたえがありました。</v>
      </c>
      <c r="O132" s="8" t="str">
        <v>とても丁寧に解説をいただけて大変ありがたかったです。</v>
      </c>
      <c r="P132" s="19">
        <f t="shared" si="0"/>
        <v>46094</v>
      </c>
    </row>
    <row r="133" spans="1:16" ht="13.2" x14ac:dyDescent="0.25">
      <c r="A133" s="18">
        <v>46105.478234965281</v>
      </c>
      <c r="B133" s="8">
        <v>908</v>
      </c>
      <c r="C133" s="8" t="str">
        <v>丸山 薫平</v>
      </c>
      <c r="D133" s="8" t="str">
        <v>クラウドインフラエンジニア実践研修(GC) 中級編</v>
      </c>
      <c r="E133" s="8" t="str">
        <v>野川 錦策</v>
      </c>
      <c r="F133" s="8">
        <v>3</v>
      </c>
      <c r="G133" s="8">
        <v>3</v>
      </c>
      <c r="H133" s="8">
        <v>3</v>
      </c>
      <c r="I133" s="8">
        <v>3</v>
      </c>
      <c r="J133" s="8">
        <v>3</v>
      </c>
      <c r="K133" s="8">
        <v>3</v>
      </c>
      <c r="L133" s="8">
        <v>3</v>
      </c>
      <c r="M133" s="8" t="str">
        <v>分からない</v>
      </c>
      <c r="N133" s="8" t="str">
        <v>もう少し現場向けにすぐに使えるリソースを含めてほしい</v>
      </c>
      <c r="O133" s="8" t="str">
        <v>良い方でした</v>
      </c>
      <c r="P133" s="19">
        <f t="shared" si="0"/>
        <v>46105</v>
      </c>
    </row>
    <row r="134" spans="1:16" ht="13.2" x14ac:dyDescent="0.25">
      <c r="A134" s="18">
        <v>46107.688550648149</v>
      </c>
      <c r="B134" s="8">
        <v>561</v>
      </c>
      <c r="C134" s="8" t="str">
        <v>齋藤和久</v>
      </c>
      <c r="D134" s="8" t="str">
        <v>フロントエンドエンジニア実践研修(React) 中級編</v>
      </c>
      <c r="E134" s="8" t="str">
        <v>長沢 宏彦</v>
      </c>
      <c r="F134" s="8">
        <v>3</v>
      </c>
      <c r="G134" s="8">
        <v>4</v>
      </c>
      <c r="H134" s="8">
        <v>4</v>
      </c>
      <c r="I134" s="8">
        <v>4</v>
      </c>
      <c r="J134" s="8">
        <v>3</v>
      </c>
      <c r="K134" s="8">
        <v>4</v>
      </c>
      <c r="L134" s="8">
        <v>4</v>
      </c>
      <c r="M134" s="8" t="str">
        <v>ある</v>
      </c>
      <c r="N134" s="8" t="str">
        <v>業務に必要な内容は網羅できていたと思うので有意義でした。</v>
      </c>
      <c r="O134" s="8" t="str">
        <v>フィードバックもわかりやすく、対応も丁寧でした。ありがとうございました。</v>
      </c>
      <c r="P134" s="19">
        <f t="shared" si="0"/>
        <v>46107</v>
      </c>
    </row>
    <row r="135" spans="1:16" ht="13.2" x14ac:dyDescent="0.25">
      <c r="A135" s="18">
        <v>46112.458866377317</v>
      </c>
      <c r="B135" s="8" t="str">
        <v>001510</v>
      </c>
      <c r="C135" s="8" t="str">
        <v>小山朔弥</v>
      </c>
      <c r="D135" s="8" t="str">
        <v>クラウドインフラエンジニア実践研修(GC) 中級編</v>
      </c>
      <c r="E135" s="8" t="str">
        <v>野川 錦策</v>
      </c>
      <c r="F135" s="8">
        <v>3</v>
      </c>
      <c r="G135" s="8">
        <v>3</v>
      </c>
      <c r="H135" s="8">
        <v>3</v>
      </c>
      <c r="I135" s="8">
        <v>4</v>
      </c>
      <c r="J135" s="8">
        <v>2</v>
      </c>
      <c r="K135" s="8">
        <v>3</v>
      </c>
      <c r="L135" s="8">
        <v>3</v>
      </c>
      <c r="M135" s="8" t="str">
        <v>ある</v>
      </c>
      <c r="N135" s="8" t="str">
        <v>ワークフローにてZIPファイルを提出できるようにしてほしい</v>
      </c>
      <c r="O135" s="8" t="str">
        <v>特になし</v>
      </c>
      <c r="P135" s="19">
        <f t="shared" si="0"/>
        <v>46112</v>
      </c>
    </row>
    <row r="136" spans="1:16" ht="13.2" x14ac:dyDescent="0.25">
      <c r="A136" s="18">
        <v>46112.604223715272</v>
      </c>
      <c r="B136" s="8">
        <v>404</v>
      </c>
      <c r="C136" s="8" t="str">
        <v>米倉秀俊</v>
      </c>
      <c r="D136" s="8" t="str">
        <v>クラウドインフラエンジニア実践研修(GC) 中級編</v>
      </c>
      <c r="E136" s="8" t="str">
        <v>野川 錦策</v>
      </c>
      <c r="F136" s="8">
        <v>2</v>
      </c>
      <c r="G136" s="8">
        <v>4</v>
      </c>
      <c r="H136" s="8">
        <v>4</v>
      </c>
      <c r="I136" s="8">
        <v>4</v>
      </c>
      <c r="J136" s="8">
        <v>4</v>
      </c>
      <c r="K136" s="8">
        <v>3</v>
      </c>
      <c r="L136" s="8">
        <v>4</v>
      </c>
      <c r="M136" s="8" t="str">
        <v>ある</v>
      </c>
      <c r="N136" s="8" t="str">
        <v>学習するきっかけにはなったのだが、あまり講師の方と話す機会が無く、有償の研修の意義をあまり感じなかった</v>
      </c>
      <c r="O136" s="8" t="str">
        <v>なし</v>
      </c>
      <c r="P136" s="19">
        <f t="shared" si="0"/>
        <v>46112</v>
      </c>
    </row>
    <row r="137" spans="1:16" ht="13.2" x14ac:dyDescent="0.25">
      <c r="A137" s="18">
        <v>46114.365815740741</v>
      </c>
      <c r="B137" s="8">
        <v>1035</v>
      </c>
      <c r="C137" s="8" t="str">
        <v>狩田鴻輝</v>
      </c>
      <c r="D137" s="8" t="str">
        <v>フロントエンドエンジニア実践研修(React) 初級編</v>
      </c>
      <c r="E137" s="8" t="str">
        <v>長沢 宏彦</v>
      </c>
      <c r="F137" s="8">
        <v>4</v>
      </c>
      <c r="G137" s="8">
        <v>4</v>
      </c>
      <c r="H137" s="8">
        <v>4</v>
      </c>
      <c r="I137" s="8">
        <v>4</v>
      </c>
      <c r="J137" s="8">
        <v>4</v>
      </c>
      <c r="K137" s="8">
        <v>4</v>
      </c>
      <c r="L137" s="8">
        <v>4</v>
      </c>
      <c r="M137" s="8" t="str">
        <v>ある</v>
      </c>
      <c r="N137" s="8" t="str">
        <v>今後、案件でのニーズが強いフロント言語の習得の第一歩目として今回はReact初級を受講させて頂きました。
フロントの知識は、実務でたまに使うJSと少しだけVueを知っている程度でしたが、今回でReactでの簡単なアプリ実装と、TypeScriptでの型定義＋自動テストを体系的に学ぶことが出来たため案件での実装作業がよりスムーズに行えるようになったと思います。
また、FB面談日程の変更など、急な対応にも迅速に答えてくださりありがとうございました。</v>
      </c>
      <c r="O137" s="8" t="str">
        <v>まずは、講師の長沢様、このような貴重な機会を頂きましてありがとうございました。
感想としまして、FBはでReact研修の内容だけでなく「フロントエンド実装のアンチパターン」や「AI活用や心構え」等と、エンジニアとしてより一歩成長できる部分を楽しく話させて頂いたことで、より技術習得に対してモチベーションが上がりました。
また、zoomに参加するまでは、講師の方が他人行儀で質問もしにくい雰囲気なのかな・・と少し緊張していたのですが、開幕から凄く話しやすい雰囲気作りをして頂いたことで、短時間ではありましたがすごく楽しい一時を過ごせました。
今後も、React中級や他言語のプログラムにも挑戦させて頂きたく思っておりますので、その際はよろしくお願いいたします。</v>
      </c>
      <c r="P137" s="19">
        <f t="shared" si="0"/>
        <v>46114</v>
      </c>
    </row>
    <row r="138" spans="1:16" ht="13.2" x14ac:dyDescent="0.25">
      <c r="A138" s="8">
        <v>0</v>
      </c>
      <c r="B138" s="8">
        <v>0</v>
      </c>
      <c r="C138" s="8">
        <v>0</v>
      </c>
      <c r="D138" s="8">
        <v>0</v>
      </c>
      <c r="E138" s="8">
        <v>0</v>
      </c>
      <c r="F138" s="8">
        <v>0</v>
      </c>
      <c r="G138" s="8">
        <v>0</v>
      </c>
      <c r="H138" s="8">
        <v>0</v>
      </c>
      <c r="I138" s="8">
        <v>0</v>
      </c>
      <c r="J138" s="8">
        <v>0</v>
      </c>
      <c r="K138" s="8">
        <v>0</v>
      </c>
      <c r="L138" s="8">
        <v>0</v>
      </c>
      <c r="M138" s="8">
        <v>0</v>
      </c>
      <c r="N138" s="8">
        <v>0</v>
      </c>
      <c r="O138" s="8">
        <v>0</v>
      </c>
      <c r="P138" s="19">
        <f t="shared" si="0"/>
        <v>0</v>
      </c>
    </row>
    <row r="139" spans="1:16" ht="13.2" x14ac:dyDescent="0.25">
      <c r="A139" s="8">
        <v>0</v>
      </c>
      <c r="B139" s="8">
        <v>0</v>
      </c>
      <c r="C139" s="8">
        <v>0</v>
      </c>
      <c r="D139" s="8">
        <v>0</v>
      </c>
      <c r="E139" s="8">
        <v>0</v>
      </c>
      <c r="F139" s="8">
        <v>0</v>
      </c>
      <c r="G139" s="8">
        <v>0</v>
      </c>
      <c r="H139" s="8">
        <v>0</v>
      </c>
      <c r="I139" s="8">
        <v>0</v>
      </c>
      <c r="J139" s="8">
        <v>0</v>
      </c>
      <c r="K139" s="8">
        <v>0</v>
      </c>
      <c r="L139" s="8">
        <v>0</v>
      </c>
      <c r="M139" s="8">
        <v>0</v>
      </c>
      <c r="N139" s="8">
        <v>0</v>
      </c>
      <c r="O139" s="8">
        <v>0</v>
      </c>
      <c r="P139" s="19">
        <f t="shared" si="0"/>
        <v>0</v>
      </c>
    </row>
    <row r="140" spans="1:16" ht="13.2" x14ac:dyDescent="0.25">
      <c r="A140" s="8">
        <v>0</v>
      </c>
      <c r="B140" s="8">
        <v>0</v>
      </c>
      <c r="C140" s="8">
        <v>0</v>
      </c>
      <c r="D140" s="8">
        <v>0</v>
      </c>
      <c r="E140" s="8">
        <v>0</v>
      </c>
      <c r="F140" s="8">
        <v>0</v>
      </c>
      <c r="G140" s="8">
        <v>0</v>
      </c>
      <c r="H140" s="8">
        <v>0</v>
      </c>
      <c r="I140" s="8">
        <v>0</v>
      </c>
      <c r="J140" s="8">
        <v>0</v>
      </c>
      <c r="K140" s="8">
        <v>0</v>
      </c>
      <c r="L140" s="8">
        <v>0</v>
      </c>
      <c r="M140" s="8">
        <v>0</v>
      </c>
      <c r="N140" s="8">
        <v>0</v>
      </c>
      <c r="O140" s="8">
        <v>0</v>
      </c>
      <c r="P140" s="19">
        <f t="shared" si="0"/>
        <v>0</v>
      </c>
    </row>
    <row r="141" spans="1:16" ht="13.2" x14ac:dyDescent="0.25">
      <c r="A141" s="8">
        <v>0</v>
      </c>
      <c r="B141" s="8">
        <v>0</v>
      </c>
      <c r="C141" s="8">
        <v>0</v>
      </c>
      <c r="D141" s="8">
        <v>0</v>
      </c>
      <c r="E141" s="8">
        <v>0</v>
      </c>
      <c r="F141" s="8">
        <v>0</v>
      </c>
      <c r="G141" s="8">
        <v>0</v>
      </c>
      <c r="H141" s="8">
        <v>0</v>
      </c>
      <c r="I141" s="8">
        <v>0</v>
      </c>
      <c r="J141" s="8">
        <v>0</v>
      </c>
      <c r="K141" s="8">
        <v>0</v>
      </c>
      <c r="L141" s="8">
        <v>0</v>
      </c>
      <c r="M141" s="8">
        <v>0</v>
      </c>
      <c r="N141" s="8">
        <v>0</v>
      </c>
      <c r="O141" s="8">
        <v>0</v>
      </c>
      <c r="P141" s="19">
        <f t="shared" si="0"/>
        <v>0</v>
      </c>
    </row>
    <row r="142" spans="1:16" ht="13.2" x14ac:dyDescent="0.25">
      <c r="A142" s="8">
        <v>0</v>
      </c>
      <c r="B142" s="8">
        <v>0</v>
      </c>
      <c r="C142" s="8">
        <v>0</v>
      </c>
      <c r="D142" s="8">
        <v>0</v>
      </c>
      <c r="E142" s="8">
        <v>0</v>
      </c>
      <c r="F142" s="8">
        <v>0</v>
      </c>
      <c r="G142" s="8">
        <v>0</v>
      </c>
      <c r="H142" s="8">
        <v>0</v>
      </c>
      <c r="I142" s="8">
        <v>0</v>
      </c>
      <c r="J142" s="8">
        <v>0</v>
      </c>
      <c r="K142" s="8">
        <v>0</v>
      </c>
      <c r="L142" s="8">
        <v>0</v>
      </c>
      <c r="M142" s="8">
        <v>0</v>
      </c>
      <c r="N142" s="8">
        <v>0</v>
      </c>
      <c r="O142" s="8">
        <v>0</v>
      </c>
      <c r="P142" s="19">
        <f t="shared" si="0"/>
        <v>0</v>
      </c>
    </row>
    <row r="143" spans="1:16" ht="13.2" x14ac:dyDescent="0.25">
      <c r="A143" s="8">
        <v>0</v>
      </c>
      <c r="B143" s="8">
        <v>0</v>
      </c>
      <c r="C143" s="8">
        <v>0</v>
      </c>
      <c r="D143" s="8">
        <v>0</v>
      </c>
      <c r="E143" s="8">
        <v>0</v>
      </c>
      <c r="F143" s="8">
        <v>0</v>
      </c>
      <c r="G143" s="8">
        <v>0</v>
      </c>
      <c r="H143" s="8">
        <v>0</v>
      </c>
      <c r="I143" s="8">
        <v>0</v>
      </c>
      <c r="J143" s="8">
        <v>0</v>
      </c>
      <c r="K143" s="8">
        <v>0</v>
      </c>
      <c r="L143" s="8">
        <v>0</v>
      </c>
      <c r="M143" s="8">
        <v>0</v>
      </c>
      <c r="N143" s="8">
        <v>0</v>
      </c>
      <c r="O143" s="8">
        <v>0</v>
      </c>
      <c r="P143" s="19">
        <f t="shared" si="0"/>
        <v>0</v>
      </c>
    </row>
    <row r="144" spans="1:16" ht="13.2" x14ac:dyDescent="0.25">
      <c r="A144" s="8">
        <v>0</v>
      </c>
      <c r="B144" s="8">
        <v>0</v>
      </c>
      <c r="C144" s="8">
        <v>0</v>
      </c>
      <c r="D144" s="8">
        <v>0</v>
      </c>
      <c r="E144" s="8">
        <v>0</v>
      </c>
      <c r="F144" s="8">
        <v>0</v>
      </c>
      <c r="G144" s="8">
        <v>0</v>
      </c>
      <c r="H144" s="8">
        <v>0</v>
      </c>
      <c r="I144" s="8">
        <v>0</v>
      </c>
      <c r="J144" s="8">
        <v>0</v>
      </c>
      <c r="K144" s="8">
        <v>0</v>
      </c>
      <c r="L144" s="8">
        <v>0</v>
      </c>
      <c r="M144" s="8">
        <v>0</v>
      </c>
      <c r="N144" s="8">
        <v>0</v>
      </c>
      <c r="O144" s="8">
        <v>0</v>
      </c>
      <c r="P144" s="19">
        <f t="shared" si="0"/>
        <v>0</v>
      </c>
    </row>
    <row r="145" spans="1:16" ht="13.2" x14ac:dyDescent="0.25">
      <c r="A145" s="8">
        <v>0</v>
      </c>
      <c r="B145" s="8">
        <v>0</v>
      </c>
      <c r="C145" s="8">
        <v>0</v>
      </c>
      <c r="D145" s="8">
        <v>0</v>
      </c>
      <c r="E145" s="8">
        <v>0</v>
      </c>
      <c r="F145" s="8">
        <v>0</v>
      </c>
      <c r="G145" s="8">
        <v>0</v>
      </c>
      <c r="H145" s="8">
        <v>0</v>
      </c>
      <c r="I145" s="8">
        <v>0</v>
      </c>
      <c r="J145" s="8">
        <v>0</v>
      </c>
      <c r="K145" s="8">
        <v>0</v>
      </c>
      <c r="L145" s="8">
        <v>0</v>
      </c>
      <c r="M145" s="8">
        <v>0</v>
      </c>
      <c r="N145" s="8">
        <v>0</v>
      </c>
      <c r="O145" s="8">
        <v>0</v>
      </c>
      <c r="P145" s="19">
        <f t="shared" si="0"/>
        <v>0</v>
      </c>
    </row>
    <row r="146" spans="1:16" ht="13.2" x14ac:dyDescent="0.25">
      <c r="A146" s="8">
        <v>0</v>
      </c>
      <c r="B146" s="8">
        <v>0</v>
      </c>
      <c r="C146" s="8">
        <v>0</v>
      </c>
      <c r="D146" s="8">
        <v>0</v>
      </c>
      <c r="E146" s="8">
        <v>0</v>
      </c>
      <c r="F146" s="8">
        <v>0</v>
      </c>
      <c r="G146" s="8">
        <v>0</v>
      </c>
      <c r="H146" s="8">
        <v>0</v>
      </c>
      <c r="I146" s="8">
        <v>0</v>
      </c>
      <c r="J146" s="8">
        <v>0</v>
      </c>
      <c r="K146" s="8">
        <v>0</v>
      </c>
      <c r="L146" s="8">
        <v>0</v>
      </c>
      <c r="M146" s="8">
        <v>0</v>
      </c>
      <c r="N146" s="8">
        <v>0</v>
      </c>
      <c r="O146" s="8">
        <v>0</v>
      </c>
      <c r="P146" s="19">
        <f t="shared" si="0"/>
        <v>0</v>
      </c>
    </row>
    <row r="147" spans="1:16" ht="13.2" x14ac:dyDescent="0.25">
      <c r="A147" s="8">
        <v>0</v>
      </c>
      <c r="B147" s="8">
        <v>0</v>
      </c>
      <c r="C147" s="8">
        <v>0</v>
      </c>
      <c r="D147" s="8">
        <v>0</v>
      </c>
      <c r="E147" s="8">
        <v>0</v>
      </c>
      <c r="F147" s="8">
        <v>0</v>
      </c>
      <c r="G147" s="8">
        <v>0</v>
      </c>
      <c r="H147" s="8">
        <v>0</v>
      </c>
      <c r="I147" s="8">
        <v>0</v>
      </c>
      <c r="J147" s="8">
        <v>0</v>
      </c>
      <c r="K147" s="8">
        <v>0</v>
      </c>
      <c r="L147" s="8">
        <v>0</v>
      </c>
      <c r="M147" s="8">
        <v>0</v>
      </c>
      <c r="N147" s="8">
        <v>0</v>
      </c>
      <c r="O147" s="8">
        <v>0</v>
      </c>
      <c r="P147" s="19">
        <f t="shared" si="0"/>
        <v>0</v>
      </c>
    </row>
    <row r="148" spans="1:16" ht="13.2" x14ac:dyDescent="0.25">
      <c r="A148" s="8">
        <v>0</v>
      </c>
      <c r="B148" s="8">
        <v>0</v>
      </c>
      <c r="C148" s="8">
        <v>0</v>
      </c>
      <c r="D148" s="8">
        <v>0</v>
      </c>
      <c r="E148" s="8">
        <v>0</v>
      </c>
      <c r="F148" s="8">
        <v>0</v>
      </c>
      <c r="G148" s="8">
        <v>0</v>
      </c>
      <c r="H148" s="8">
        <v>0</v>
      </c>
      <c r="I148" s="8">
        <v>0</v>
      </c>
      <c r="J148" s="8">
        <v>0</v>
      </c>
      <c r="K148" s="8">
        <v>0</v>
      </c>
      <c r="L148" s="8">
        <v>0</v>
      </c>
      <c r="M148" s="8">
        <v>0</v>
      </c>
      <c r="N148" s="8">
        <v>0</v>
      </c>
      <c r="O148" s="8">
        <v>0</v>
      </c>
      <c r="P148" s="19">
        <f t="shared" si="0"/>
        <v>0</v>
      </c>
    </row>
    <row r="149" spans="1:16" ht="13.2" x14ac:dyDescent="0.25">
      <c r="A149" s="8">
        <v>0</v>
      </c>
      <c r="B149" s="8">
        <v>0</v>
      </c>
      <c r="C149" s="8">
        <v>0</v>
      </c>
      <c r="D149" s="8">
        <v>0</v>
      </c>
      <c r="E149" s="8">
        <v>0</v>
      </c>
      <c r="F149" s="8">
        <v>0</v>
      </c>
      <c r="G149" s="8">
        <v>0</v>
      </c>
      <c r="H149" s="8">
        <v>0</v>
      </c>
      <c r="I149" s="8">
        <v>0</v>
      </c>
      <c r="J149" s="8">
        <v>0</v>
      </c>
      <c r="K149" s="8">
        <v>0</v>
      </c>
      <c r="L149" s="8">
        <v>0</v>
      </c>
      <c r="M149" s="8">
        <v>0</v>
      </c>
      <c r="N149" s="8">
        <v>0</v>
      </c>
      <c r="O149" s="8">
        <v>0</v>
      </c>
      <c r="P149" s="19">
        <f t="shared" si="0"/>
        <v>0</v>
      </c>
    </row>
    <row r="150" spans="1:16" ht="13.2" x14ac:dyDescent="0.25">
      <c r="A150" s="8">
        <v>0</v>
      </c>
      <c r="B150" s="8">
        <v>0</v>
      </c>
      <c r="C150" s="8">
        <v>0</v>
      </c>
      <c r="D150" s="8">
        <v>0</v>
      </c>
      <c r="E150" s="8">
        <v>0</v>
      </c>
      <c r="F150" s="8">
        <v>0</v>
      </c>
      <c r="G150" s="8">
        <v>0</v>
      </c>
      <c r="H150" s="8">
        <v>0</v>
      </c>
      <c r="I150" s="8">
        <v>0</v>
      </c>
      <c r="J150" s="8">
        <v>0</v>
      </c>
      <c r="K150" s="8">
        <v>0</v>
      </c>
      <c r="L150" s="8">
        <v>0</v>
      </c>
      <c r="M150" s="8">
        <v>0</v>
      </c>
      <c r="N150" s="8">
        <v>0</v>
      </c>
      <c r="O150" s="8">
        <v>0</v>
      </c>
      <c r="P150" s="19">
        <f t="shared" si="0"/>
        <v>0</v>
      </c>
    </row>
    <row r="151" spans="1:16" ht="13.2" x14ac:dyDescent="0.25">
      <c r="A151" s="8">
        <v>0</v>
      </c>
      <c r="B151" s="8">
        <v>0</v>
      </c>
      <c r="C151" s="8">
        <v>0</v>
      </c>
      <c r="D151" s="8">
        <v>0</v>
      </c>
      <c r="E151" s="8">
        <v>0</v>
      </c>
      <c r="F151" s="8">
        <v>0</v>
      </c>
      <c r="G151" s="8">
        <v>0</v>
      </c>
      <c r="H151" s="8">
        <v>0</v>
      </c>
      <c r="I151" s="8">
        <v>0</v>
      </c>
      <c r="J151" s="8">
        <v>0</v>
      </c>
      <c r="K151" s="8">
        <v>0</v>
      </c>
      <c r="L151" s="8">
        <v>0</v>
      </c>
      <c r="M151" s="8">
        <v>0</v>
      </c>
      <c r="N151" s="8">
        <v>0</v>
      </c>
      <c r="O151" s="8">
        <v>0</v>
      </c>
      <c r="P151" s="19">
        <f t="shared" si="0"/>
        <v>0</v>
      </c>
    </row>
    <row r="152" spans="1:16" ht="13.2" x14ac:dyDescent="0.25">
      <c r="A152" s="8">
        <v>0</v>
      </c>
      <c r="B152" s="8">
        <v>0</v>
      </c>
      <c r="C152" s="8">
        <v>0</v>
      </c>
      <c r="D152" s="8">
        <v>0</v>
      </c>
      <c r="E152" s="8">
        <v>0</v>
      </c>
      <c r="F152" s="8">
        <v>0</v>
      </c>
      <c r="G152" s="8">
        <v>0</v>
      </c>
      <c r="H152" s="8">
        <v>0</v>
      </c>
      <c r="I152" s="8">
        <v>0</v>
      </c>
      <c r="J152" s="8">
        <v>0</v>
      </c>
      <c r="K152" s="8">
        <v>0</v>
      </c>
      <c r="L152" s="8">
        <v>0</v>
      </c>
      <c r="M152" s="8">
        <v>0</v>
      </c>
      <c r="N152" s="8">
        <v>0</v>
      </c>
      <c r="O152" s="8">
        <v>0</v>
      </c>
      <c r="P152" s="19">
        <f t="shared" si="0"/>
        <v>0</v>
      </c>
    </row>
    <row r="153" spans="1:16" ht="13.2" x14ac:dyDescent="0.25">
      <c r="A153" s="8">
        <v>0</v>
      </c>
      <c r="B153" s="8">
        <v>0</v>
      </c>
      <c r="C153" s="8">
        <v>0</v>
      </c>
      <c r="D153" s="8">
        <v>0</v>
      </c>
      <c r="E153" s="8">
        <v>0</v>
      </c>
      <c r="F153" s="8">
        <v>0</v>
      </c>
      <c r="G153" s="8">
        <v>0</v>
      </c>
      <c r="H153" s="8">
        <v>0</v>
      </c>
      <c r="I153" s="8">
        <v>0</v>
      </c>
      <c r="J153" s="8">
        <v>0</v>
      </c>
      <c r="K153" s="8">
        <v>0</v>
      </c>
      <c r="L153" s="8">
        <v>0</v>
      </c>
      <c r="M153" s="8">
        <v>0</v>
      </c>
      <c r="N153" s="8">
        <v>0</v>
      </c>
      <c r="O153" s="8">
        <v>0</v>
      </c>
      <c r="P153" s="19">
        <f t="shared" si="0"/>
        <v>0</v>
      </c>
    </row>
    <row r="154" spans="1:16" ht="13.2" x14ac:dyDescent="0.25">
      <c r="A154" s="8">
        <v>0</v>
      </c>
      <c r="B154" s="8">
        <v>0</v>
      </c>
      <c r="C154" s="8">
        <v>0</v>
      </c>
      <c r="D154" s="8">
        <v>0</v>
      </c>
      <c r="E154" s="8">
        <v>0</v>
      </c>
      <c r="F154" s="8">
        <v>0</v>
      </c>
      <c r="G154" s="8">
        <v>0</v>
      </c>
      <c r="H154" s="8">
        <v>0</v>
      </c>
      <c r="I154" s="8">
        <v>0</v>
      </c>
      <c r="J154" s="8">
        <v>0</v>
      </c>
      <c r="K154" s="8">
        <v>0</v>
      </c>
      <c r="L154" s="8">
        <v>0</v>
      </c>
      <c r="M154" s="8">
        <v>0</v>
      </c>
      <c r="N154" s="8">
        <v>0</v>
      </c>
      <c r="O154" s="8">
        <v>0</v>
      </c>
      <c r="P154" s="19">
        <f t="shared" si="0"/>
        <v>0</v>
      </c>
    </row>
    <row r="155" spans="1:16" ht="13.2" x14ac:dyDescent="0.25">
      <c r="A155" s="8">
        <v>0</v>
      </c>
      <c r="B155" s="8">
        <v>0</v>
      </c>
      <c r="C155" s="8">
        <v>0</v>
      </c>
      <c r="D155" s="8">
        <v>0</v>
      </c>
      <c r="E155" s="8">
        <v>0</v>
      </c>
      <c r="F155" s="8">
        <v>0</v>
      </c>
      <c r="G155" s="8">
        <v>0</v>
      </c>
      <c r="H155" s="8">
        <v>0</v>
      </c>
      <c r="I155" s="8">
        <v>0</v>
      </c>
      <c r="J155" s="8">
        <v>0</v>
      </c>
      <c r="K155" s="8">
        <v>0</v>
      </c>
      <c r="L155" s="8">
        <v>0</v>
      </c>
      <c r="M155" s="8">
        <v>0</v>
      </c>
      <c r="N155" s="8">
        <v>0</v>
      </c>
      <c r="O155" s="8">
        <v>0</v>
      </c>
      <c r="P155" s="19">
        <f t="shared" si="0"/>
        <v>0</v>
      </c>
    </row>
    <row r="156" spans="1:16" ht="13.2" x14ac:dyDescent="0.25">
      <c r="A156" s="8">
        <v>0</v>
      </c>
      <c r="B156" s="8">
        <v>0</v>
      </c>
      <c r="C156" s="8">
        <v>0</v>
      </c>
      <c r="D156" s="8">
        <v>0</v>
      </c>
      <c r="E156" s="8">
        <v>0</v>
      </c>
      <c r="F156" s="8">
        <v>0</v>
      </c>
      <c r="G156" s="8">
        <v>0</v>
      </c>
      <c r="H156" s="8">
        <v>0</v>
      </c>
      <c r="I156" s="8">
        <v>0</v>
      </c>
      <c r="J156" s="8">
        <v>0</v>
      </c>
      <c r="K156" s="8">
        <v>0</v>
      </c>
      <c r="L156" s="8">
        <v>0</v>
      </c>
      <c r="M156" s="8">
        <v>0</v>
      </c>
      <c r="N156" s="8">
        <v>0</v>
      </c>
      <c r="O156" s="8">
        <v>0</v>
      </c>
      <c r="P156" s="19">
        <f t="shared" si="0"/>
        <v>0</v>
      </c>
    </row>
    <row r="157" spans="1:16" ht="13.2" x14ac:dyDescent="0.25">
      <c r="A157" s="8">
        <v>0</v>
      </c>
      <c r="B157" s="8">
        <v>0</v>
      </c>
      <c r="C157" s="8">
        <v>0</v>
      </c>
      <c r="D157" s="8">
        <v>0</v>
      </c>
      <c r="E157" s="8">
        <v>0</v>
      </c>
      <c r="F157" s="8">
        <v>0</v>
      </c>
      <c r="G157" s="8">
        <v>0</v>
      </c>
      <c r="H157" s="8">
        <v>0</v>
      </c>
      <c r="I157" s="8">
        <v>0</v>
      </c>
      <c r="J157" s="8">
        <v>0</v>
      </c>
      <c r="K157" s="8">
        <v>0</v>
      </c>
      <c r="L157" s="8">
        <v>0</v>
      </c>
      <c r="M157" s="8">
        <v>0</v>
      </c>
      <c r="N157" s="8">
        <v>0</v>
      </c>
      <c r="O157" s="8">
        <v>0</v>
      </c>
      <c r="P157" s="19">
        <f t="shared" si="0"/>
        <v>0</v>
      </c>
    </row>
    <row r="158" spans="1:16" ht="13.2" x14ac:dyDescent="0.25">
      <c r="A158" s="8">
        <v>0</v>
      </c>
      <c r="B158" s="8">
        <v>0</v>
      </c>
      <c r="C158" s="8">
        <v>0</v>
      </c>
      <c r="D158" s="8">
        <v>0</v>
      </c>
      <c r="E158" s="8">
        <v>0</v>
      </c>
      <c r="F158" s="8">
        <v>0</v>
      </c>
      <c r="G158" s="8">
        <v>0</v>
      </c>
      <c r="H158" s="8">
        <v>0</v>
      </c>
      <c r="I158" s="8">
        <v>0</v>
      </c>
      <c r="J158" s="8">
        <v>0</v>
      </c>
      <c r="K158" s="8">
        <v>0</v>
      </c>
      <c r="L158" s="8">
        <v>0</v>
      </c>
      <c r="M158" s="8">
        <v>0</v>
      </c>
      <c r="N158" s="8">
        <v>0</v>
      </c>
      <c r="O158" s="8">
        <v>0</v>
      </c>
      <c r="P158" s="19">
        <f t="shared" si="0"/>
        <v>0</v>
      </c>
    </row>
    <row r="159" spans="1:16" ht="13.2" x14ac:dyDescent="0.25">
      <c r="A159" s="8">
        <v>0</v>
      </c>
      <c r="B159" s="8">
        <v>0</v>
      </c>
      <c r="C159" s="8">
        <v>0</v>
      </c>
      <c r="D159" s="8">
        <v>0</v>
      </c>
      <c r="E159" s="8">
        <v>0</v>
      </c>
      <c r="F159" s="8">
        <v>0</v>
      </c>
      <c r="G159" s="8">
        <v>0</v>
      </c>
      <c r="H159" s="8">
        <v>0</v>
      </c>
      <c r="I159" s="8">
        <v>0</v>
      </c>
      <c r="J159" s="8">
        <v>0</v>
      </c>
      <c r="K159" s="8">
        <v>0</v>
      </c>
      <c r="L159" s="8">
        <v>0</v>
      </c>
      <c r="M159" s="8">
        <v>0</v>
      </c>
      <c r="N159" s="8">
        <v>0</v>
      </c>
      <c r="O159" s="8">
        <v>0</v>
      </c>
      <c r="P159" s="19">
        <f t="shared" si="0"/>
        <v>0</v>
      </c>
    </row>
    <row r="160" spans="1:16" ht="13.2" x14ac:dyDescent="0.25">
      <c r="A160" s="8">
        <v>0</v>
      </c>
      <c r="B160" s="8">
        <v>0</v>
      </c>
      <c r="C160" s="8">
        <v>0</v>
      </c>
      <c r="D160" s="8">
        <v>0</v>
      </c>
      <c r="E160" s="8">
        <v>0</v>
      </c>
      <c r="F160" s="8">
        <v>0</v>
      </c>
      <c r="G160" s="8">
        <v>0</v>
      </c>
      <c r="H160" s="8">
        <v>0</v>
      </c>
      <c r="I160" s="8">
        <v>0</v>
      </c>
      <c r="J160" s="8">
        <v>0</v>
      </c>
      <c r="K160" s="8">
        <v>0</v>
      </c>
      <c r="L160" s="8">
        <v>0</v>
      </c>
      <c r="M160" s="8">
        <v>0</v>
      </c>
      <c r="N160" s="8">
        <v>0</v>
      </c>
      <c r="O160" s="8">
        <v>0</v>
      </c>
      <c r="P160" s="19">
        <f t="shared" si="0"/>
        <v>0</v>
      </c>
    </row>
    <row r="161" spans="1:16" ht="13.2" x14ac:dyDescent="0.25">
      <c r="A161" s="8">
        <v>0</v>
      </c>
      <c r="B161" s="8">
        <v>0</v>
      </c>
      <c r="C161" s="8">
        <v>0</v>
      </c>
      <c r="D161" s="8">
        <v>0</v>
      </c>
      <c r="E161" s="8">
        <v>0</v>
      </c>
      <c r="F161" s="8">
        <v>0</v>
      </c>
      <c r="G161" s="8">
        <v>0</v>
      </c>
      <c r="H161" s="8">
        <v>0</v>
      </c>
      <c r="I161" s="8">
        <v>0</v>
      </c>
      <c r="J161" s="8">
        <v>0</v>
      </c>
      <c r="K161" s="8">
        <v>0</v>
      </c>
      <c r="L161" s="8">
        <v>0</v>
      </c>
      <c r="M161" s="8">
        <v>0</v>
      </c>
      <c r="N161" s="8">
        <v>0</v>
      </c>
      <c r="O161" s="8">
        <v>0</v>
      </c>
      <c r="P161" s="19">
        <f t="shared" si="0"/>
        <v>0</v>
      </c>
    </row>
    <row r="162" spans="1:16" ht="13.2" x14ac:dyDescent="0.25">
      <c r="A162" s="8">
        <v>0</v>
      </c>
      <c r="B162" s="8">
        <v>0</v>
      </c>
      <c r="C162" s="8">
        <v>0</v>
      </c>
      <c r="D162" s="8">
        <v>0</v>
      </c>
      <c r="E162" s="8">
        <v>0</v>
      </c>
      <c r="F162" s="8">
        <v>0</v>
      </c>
      <c r="G162" s="8">
        <v>0</v>
      </c>
      <c r="H162" s="8">
        <v>0</v>
      </c>
      <c r="I162" s="8">
        <v>0</v>
      </c>
      <c r="J162" s="8">
        <v>0</v>
      </c>
      <c r="K162" s="8">
        <v>0</v>
      </c>
      <c r="L162" s="8">
        <v>0</v>
      </c>
      <c r="M162" s="8">
        <v>0</v>
      </c>
      <c r="N162" s="8">
        <v>0</v>
      </c>
      <c r="O162" s="8">
        <v>0</v>
      </c>
      <c r="P162" s="19">
        <f t="shared" si="0"/>
        <v>0</v>
      </c>
    </row>
    <row r="163" spans="1:16" ht="13.2" x14ac:dyDescent="0.25">
      <c r="A163" s="8">
        <v>0</v>
      </c>
      <c r="B163" s="8">
        <v>0</v>
      </c>
      <c r="C163" s="8">
        <v>0</v>
      </c>
      <c r="D163" s="8">
        <v>0</v>
      </c>
      <c r="E163" s="8">
        <v>0</v>
      </c>
      <c r="F163" s="8">
        <v>0</v>
      </c>
      <c r="G163" s="8">
        <v>0</v>
      </c>
      <c r="H163" s="8">
        <v>0</v>
      </c>
      <c r="I163" s="8">
        <v>0</v>
      </c>
      <c r="J163" s="8">
        <v>0</v>
      </c>
      <c r="K163" s="8">
        <v>0</v>
      </c>
      <c r="L163" s="8">
        <v>0</v>
      </c>
      <c r="M163" s="8">
        <v>0</v>
      </c>
      <c r="N163" s="8">
        <v>0</v>
      </c>
      <c r="O163" s="8">
        <v>0</v>
      </c>
      <c r="P163" s="19">
        <f t="shared" si="0"/>
        <v>0</v>
      </c>
    </row>
    <row r="164" spans="1:16" ht="13.2" x14ac:dyDescent="0.25">
      <c r="A164" s="8">
        <v>0</v>
      </c>
      <c r="B164" s="8">
        <v>0</v>
      </c>
      <c r="C164" s="8">
        <v>0</v>
      </c>
      <c r="D164" s="8">
        <v>0</v>
      </c>
      <c r="E164" s="8">
        <v>0</v>
      </c>
      <c r="F164" s="8">
        <v>0</v>
      </c>
      <c r="G164" s="8">
        <v>0</v>
      </c>
      <c r="H164" s="8">
        <v>0</v>
      </c>
      <c r="I164" s="8">
        <v>0</v>
      </c>
      <c r="J164" s="8">
        <v>0</v>
      </c>
      <c r="K164" s="8">
        <v>0</v>
      </c>
      <c r="L164" s="8">
        <v>0</v>
      </c>
      <c r="M164" s="8">
        <v>0</v>
      </c>
      <c r="N164" s="8">
        <v>0</v>
      </c>
      <c r="O164" s="8">
        <v>0</v>
      </c>
      <c r="P164" s="19">
        <f t="shared" si="0"/>
        <v>0</v>
      </c>
    </row>
    <row r="165" spans="1:16" ht="13.2" x14ac:dyDescent="0.25">
      <c r="A165" s="8">
        <v>0</v>
      </c>
      <c r="B165" s="8">
        <v>0</v>
      </c>
      <c r="C165" s="8">
        <v>0</v>
      </c>
      <c r="D165" s="8">
        <v>0</v>
      </c>
      <c r="E165" s="8">
        <v>0</v>
      </c>
      <c r="F165" s="8">
        <v>0</v>
      </c>
      <c r="G165" s="8">
        <v>0</v>
      </c>
      <c r="H165" s="8">
        <v>0</v>
      </c>
      <c r="I165" s="8">
        <v>0</v>
      </c>
      <c r="J165" s="8">
        <v>0</v>
      </c>
      <c r="K165" s="8">
        <v>0</v>
      </c>
      <c r="L165" s="8">
        <v>0</v>
      </c>
      <c r="M165" s="8">
        <v>0</v>
      </c>
      <c r="N165" s="8">
        <v>0</v>
      </c>
      <c r="O165" s="8">
        <v>0</v>
      </c>
      <c r="P165" s="19">
        <f t="shared" si="0"/>
        <v>0</v>
      </c>
    </row>
    <row r="166" spans="1:16" ht="13.2" x14ac:dyDescent="0.25">
      <c r="A166" s="8">
        <v>0</v>
      </c>
      <c r="B166" s="8">
        <v>0</v>
      </c>
      <c r="C166" s="8">
        <v>0</v>
      </c>
      <c r="D166" s="8">
        <v>0</v>
      </c>
      <c r="E166" s="8">
        <v>0</v>
      </c>
      <c r="F166" s="8">
        <v>0</v>
      </c>
      <c r="G166" s="8">
        <v>0</v>
      </c>
      <c r="H166" s="8">
        <v>0</v>
      </c>
      <c r="I166" s="8">
        <v>0</v>
      </c>
      <c r="J166" s="8">
        <v>0</v>
      </c>
      <c r="K166" s="8">
        <v>0</v>
      </c>
      <c r="L166" s="8">
        <v>0</v>
      </c>
      <c r="M166" s="8">
        <v>0</v>
      </c>
      <c r="N166" s="8">
        <v>0</v>
      </c>
      <c r="O166" s="8">
        <v>0</v>
      </c>
      <c r="P166" s="19">
        <f t="shared" si="0"/>
        <v>0</v>
      </c>
    </row>
    <row r="167" spans="1:16" ht="13.2" x14ac:dyDescent="0.25">
      <c r="A167" s="8">
        <v>0</v>
      </c>
      <c r="B167" s="8">
        <v>0</v>
      </c>
      <c r="C167" s="8">
        <v>0</v>
      </c>
      <c r="D167" s="8">
        <v>0</v>
      </c>
      <c r="E167" s="8">
        <v>0</v>
      </c>
      <c r="F167" s="8">
        <v>0</v>
      </c>
      <c r="G167" s="8">
        <v>0</v>
      </c>
      <c r="H167" s="8">
        <v>0</v>
      </c>
      <c r="I167" s="8">
        <v>0</v>
      </c>
      <c r="J167" s="8">
        <v>0</v>
      </c>
      <c r="K167" s="8">
        <v>0</v>
      </c>
      <c r="L167" s="8">
        <v>0</v>
      </c>
      <c r="M167" s="8">
        <v>0</v>
      </c>
      <c r="N167" s="8">
        <v>0</v>
      </c>
      <c r="O167" s="8">
        <v>0</v>
      </c>
      <c r="P167" s="19">
        <f t="shared" si="0"/>
        <v>0</v>
      </c>
    </row>
    <row r="168" spans="1:16" ht="13.2" x14ac:dyDescent="0.25">
      <c r="A168" s="8">
        <v>0</v>
      </c>
      <c r="B168" s="8">
        <v>0</v>
      </c>
      <c r="C168" s="8">
        <v>0</v>
      </c>
      <c r="D168" s="8">
        <v>0</v>
      </c>
      <c r="E168" s="8">
        <v>0</v>
      </c>
      <c r="F168" s="8">
        <v>0</v>
      </c>
      <c r="G168" s="8">
        <v>0</v>
      </c>
      <c r="H168" s="8">
        <v>0</v>
      </c>
      <c r="I168" s="8">
        <v>0</v>
      </c>
      <c r="J168" s="8">
        <v>0</v>
      </c>
      <c r="K168" s="8">
        <v>0</v>
      </c>
      <c r="L168" s="8">
        <v>0</v>
      </c>
      <c r="M168" s="8">
        <v>0</v>
      </c>
      <c r="N168" s="8">
        <v>0</v>
      </c>
      <c r="O168" s="8">
        <v>0</v>
      </c>
      <c r="P168" s="19">
        <f t="shared" si="0"/>
        <v>0</v>
      </c>
    </row>
    <row r="169" spans="1:16" ht="13.2" x14ac:dyDescent="0.25">
      <c r="A169" s="8">
        <v>0</v>
      </c>
      <c r="B169" s="8">
        <v>0</v>
      </c>
      <c r="C169" s="8">
        <v>0</v>
      </c>
      <c r="D169" s="8">
        <v>0</v>
      </c>
      <c r="E169" s="8">
        <v>0</v>
      </c>
      <c r="F169" s="8">
        <v>0</v>
      </c>
      <c r="G169" s="8">
        <v>0</v>
      </c>
      <c r="H169" s="8">
        <v>0</v>
      </c>
      <c r="I169" s="8">
        <v>0</v>
      </c>
      <c r="J169" s="8">
        <v>0</v>
      </c>
      <c r="K169" s="8">
        <v>0</v>
      </c>
      <c r="L169" s="8">
        <v>0</v>
      </c>
      <c r="M169" s="8">
        <v>0</v>
      </c>
      <c r="N169" s="8">
        <v>0</v>
      </c>
      <c r="O169" s="8">
        <v>0</v>
      </c>
      <c r="P169" s="19">
        <f t="shared" si="0"/>
        <v>0</v>
      </c>
    </row>
    <row r="170" spans="1:16" ht="13.2" x14ac:dyDescent="0.25">
      <c r="A170" s="8">
        <v>0</v>
      </c>
      <c r="B170" s="8">
        <v>0</v>
      </c>
      <c r="C170" s="8">
        <v>0</v>
      </c>
      <c r="D170" s="8">
        <v>0</v>
      </c>
      <c r="E170" s="8">
        <v>0</v>
      </c>
      <c r="F170" s="8">
        <v>0</v>
      </c>
      <c r="G170" s="8">
        <v>0</v>
      </c>
      <c r="H170" s="8">
        <v>0</v>
      </c>
      <c r="I170" s="8">
        <v>0</v>
      </c>
      <c r="J170" s="8">
        <v>0</v>
      </c>
      <c r="K170" s="8">
        <v>0</v>
      </c>
      <c r="L170" s="8">
        <v>0</v>
      </c>
      <c r="M170" s="8">
        <v>0</v>
      </c>
      <c r="N170" s="8">
        <v>0</v>
      </c>
      <c r="O170" s="8">
        <v>0</v>
      </c>
      <c r="P170" s="19">
        <f t="shared" si="0"/>
        <v>0</v>
      </c>
    </row>
    <row r="171" spans="1:16" ht="13.2" x14ac:dyDescent="0.25">
      <c r="A171" s="8">
        <v>0</v>
      </c>
      <c r="B171" s="8">
        <v>0</v>
      </c>
      <c r="C171" s="8">
        <v>0</v>
      </c>
      <c r="D171" s="8">
        <v>0</v>
      </c>
      <c r="E171" s="8">
        <v>0</v>
      </c>
      <c r="F171" s="8">
        <v>0</v>
      </c>
      <c r="G171" s="8">
        <v>0</v>
      </c>
      <c r="H171" s="8">
        <v>0</v>
      </c>
      <c r="I171" s="8">
        <v>0</v>
      </c>
      <c r="J171" s="8">
        <v>0</v>
      </c>
      <c r="K171" s="8">
        <v>0</v>
      </c>
      <c r="L171" s="8">
        <v>0</v>
      </c>
      <c r="M171" s="8">
        <v>0</v>
      </c>
      <c r="N171" s="8">
        <v>0</v>
      </c>
      <c r="O171" s="8">
        <v>0</v>
      </c>
      <c r="P171" s="19">
        <f t="shared" si="0"/>
        <v>0</v>
      </c>
    </row>
    <row r="172" spans="1:16" ht="13.2" x14ac:dyDescent="0.25">
      <c r="A172" s="8">
        <v>0</v>
      </c>
      <c r="B172" s="8">
        <v>0</v>
      </c>
      <c r="C172" s="8">
        <v>0</v>
      </c>
      <c r="D172" s="8">
        <v>0</v>
      </c>
      <c r="E172" s="8">
        <v>0</v>
      </c>
      <c r="F172" s="8">
        <v>0</v>
      </c>
      <c r="G172" s="8">
        <v>0</v>
      </c>
      <c r="H172" s="8">
        <v>0</v>
      </c>
      <c r="I172" s="8">
        <v>0</v>
      </c>
      <c r="J172" s="8">
        <v>0</v>
      </c>
      <c r="K172" s="8">
        <v>0</v>
      </c>
      <c r="L172" s="8">
        <v>0</v>
      </c>
      <c r="M172" s="8">
        <v>0</v>
      </c>
      <c r="N172" s="8">
        <v>0</v>
      </c>
      <c r="O172" s="8">
        <v>0</v>
      </c>
      <c r="P172" s="19">
        <f t="shared" si="0"/>
        <v>0</v>
      </c>
    </row>
    <row r="173" spans="1:16" ht="13.2" x14ac:dyDescent="0.25">
      <c r="A173" s="8">
        <v>0</v>
      </c>
      <c r="B173" s="8">
        <v>0</v>
      </c>
      <c r="C173" s="8">
        <v>0</v>
      </c>
      <c r="D173" s="8">
        <v>0</v>
      </c>
      <c r="E173" s="8">
        <v>0</v>
      </c>
      <c r="F173" s="8">
        <v>0</v>
      </c>
      <c r="G173" s="8">
        <v>0</v>
      </c>
      <c r="H173" s="8">
        <v>0</v>
      </c>
      <c r="I173" s="8">
        <v>0</v>
      </c>
      <c r="J173" s="8">
        <v>0</v>
      </c>
      <c r="K173" s="8">
        <v>0</v>
      </c>
      <c r="L173" s="8">
        <v>0</v>
      </c>
      <c r="M173" s="8">
        <v>0</v>
      </c>
      <c r="N173" s="8">
        <v>0</v>
      </c>
      <c r="O173" s="8">
        <v>0</v>
      </c>
      <c r="P173" s="19">
        <f t="shared" si="0"/>
        <v>0</v>
      </c>
    </row>
    <row r="174" spans="1:16" ht="13.2" x14ac:dyDescent="0.25">
      <c r="A174" s="8">
        <v>0</v>
      </c>
      <c r="B174" s="8">
        <v>0</v>
      </c>
      <c r="C174" s="8">
        <v>0</v>
      </c>
      <c r="D174" s="8">
        <v>0</v>
      </c>
      <c r="E174" s="8">
        <v>0</v>
      </c>
      <c r="F174" s="8">
        <v>0</v>
      </c>
      <c r="G174" s="8">
        <v>0</v>
      </c>
      <c r="H174" s="8">
        <v>0</v>
      </c>
      <c r="I174" s="8">
        <v>0</v>
      </c>
      <c r="J174" s="8">
        <v>0</v>
      </c>
      <c r="K174" s="8">
        <v>0</v>
      </c>
      <c r="L174" s="8">
        <v>0</v>
      </c>
      <c r="M174" s="8">
        <v>0</v>
      </c>
      <c r="N174" s="8">
        <v>0</v>
      </c>
      <c r="O174" s="8">
        <v>0</v>
      </c>
      <c r="P174" s="19">
        <f t="shared" si="0"/>
        <v>0</v>
      </c>
    </row>
    <row r="175" spans="1:16" ht="13.2" x14ac:dyDescent="0.25">
      <c r="A175" s="8">
        <v>0</v>
      </c>
      <c r="B175" s="8">
        <v>0</v>
      </c>
      <c r="C175" s="8">
        <v>0</v>
      </c>
      <c r="D175" s="8">
        <v>0</v>
      </c>
      <c r="E175" s="8">
        <v>0</v>
      </c>
      <c r="F175" s="8">
        <v>0</v>
      </c>
      <c r="G175" s="8">
        <v>0</v>
      </c>
      <c r="H175" s="8">
        <v>0</v>
      </c>
      <c r="I175" s="8">
        <v>0</v>
      </c>
      <c r="J175" s="8">
        <v>0</v>
      </c>
      <c r="K175" s="8">
        <v>0</v>
      </c>
      <c r="L175" s="8">
        <v>0</v>
      </c>
      <c r="M175" s="8">
        <v>0</v>
      </c>
      <c r="N175" s="8">
        <v>0</v>
      </c>
      <c r="O175" s="8">
        <v>0</v>
      </c>
      <c r="P175" s="19">
        <f t="shared" si="0"/>
        <v>0</v>
      </c>
    </row>
    <row r="176" spans="1:16" ht="13.2" x14ac:dyDescent="0.25">
      <c r="A176" s="8">
        <v>0</v>
      </c>
      <c r="B176" s="8">
        <v>0</v>
      </c>
      <c r="C176" s="8">
        <v>0</v>
      </c>
      <c r="D176" s="8">
        <v>0</v>
      </c>
      <c r="E176" s="8">
        <v>0</v>
      </c>
      <c r="F176" s="8">
        <v>0</v>
      </c>
      <c r="G176" s="8">
        <v>0</v>
      </c>
      <c r="H176" s="8">
        <v>0</v>
      </c>
      <c r="I176" s="8">
        <v>0</v>
      </c>
      <c r="J176" s="8">
        <v>0</v>
      </c>
      <c r="K176" s="8">
        <v>0</v>
      </c>
      <c r="L176" s="8">
        <v>0</v>
      </c>
      <c r="M176" s="8">
        <v>0</v>
      </c>
      <c r="N176" s="8">
        <v>0</v>
      </c>
      <c r="O176" s="8">
        <v>0</v>
      </c>
      <c r="P176" s="19">
        <f t="shared" si="0"/>
        <v>0</v>
      </c>
    </row>
    <row r="177" spans="1:16" ht="13.2" x14ac:dyDescent="0.25">
      <c r="A177" s="8">
        <v>0</v>
      </c>
      <c r="B177" s="8">
        <v>0</v>
      </c>
      <c r="C177" s="8">
        <v>0</v>
      </c>
      <c r="D177" s="8">
        <v>0</v>
      </c>
      <c r="E177" s="8">
        <v>0</v>
      </c>
      <c r="F177" s="8">
        <v>0</v>
      </c>
      <c r="G177" s="8">
        <v>0</v>
      </c>
      <c r="H177" s="8">
        <v>0</v>
      </c>
      <c r="I177" s="8">
        <v>0</v>
      </c>
      <c r="J177" s="8">
        <v>0</v>
      </c>
      <c r="K177" s="8">
        <v>0</v>
      </c>
      <c r="L177" s="8">
        <v>0</v>
      </c>
      <c r="M177" s="8">
        <v>0</v>
      </c>
      <c r="N177" s="8">
        <v>0</v>
      </c>
      <c r="O177" s="8">
        <v>0</v>
      </c>
      <c r="P177" s="19">
        <f t="shared" si="0"/>
        <v>0</v>
      </c>
    </row>
    <row r="178" spans="1:16" ht="13.2" x14ac:dyDescent="0.25">
      <c r="A178" s="8">
        <v>0</v>
      </c>
      <c r="B178" s="8">
        <v>0</v>
      </c>
      <c r="C178" s="8">
        <v>0</v>
      </c>
      <c r="D178" s="8">
        <v>0</v>
      </c>
      <c r="E178" s="8">
        <v>0</v>
      </c>
      <c r="F178" s="8">
        <v>0</v>
      </c>
      <c r="G178" s="8">
        <v>0</v>
      </c>
      <c r="H178" s="8">
        <v>0</v>
      </c>
      <c r="I178" s="8">
        <v>0</v>
      </c>
      <c r="J178" s="8">
        <v>0</v>
      </c>
      <c r="K178" s="8">
        <v>0</v>
      </c>
      <c r="L178" s="8">
        <v>0</v>
      </c>
      <c r="M178" s="8">
        <v>0</v>
      </c>
      <c r="N178" s="8">
        <v>0</v>
      </c>
      <c r="O178" s="8">
        <v>0</v>
      </c>
      <c r="P178" s="19">
        <f t="shared" si="0"/>
        <v>0</v>
      </c>
    </row>
    <row r="179" spans="1:16" ht="13.2" x14ac:dyDescent="0.25">
      <c r="A179" s="8">
        <v>0</v>
      </c>
      <c r="B179" s="8">
        <v>0</v>
      </c>
      <c r="C179" s="8">
        <v>0</v>
      </c>
      <c r="D179" s="8">
        <v>0</v>
      </c>
      <c r="E179" s="8">
        <v>0</v>
      </c>
      <c r="F179" s="8">
        <v>0</v>
      </c>
      <c r="G179" s="8">
        <v>0</v>
      </c>
      <c r="H179" s="8">
        <v>0</v>
      </c>
      <c r="I179" s="8">
        <v>0</v>
      </c>
      <c r="J179" s="8">
        <v>0</v>
      </c>
      <c r="K179" s="8">
        <v>0</v>
      </c>
      <c r="L179" s="8">
        <v>0</v>
      </c>
      <c r="M179" s="8">
        <v>0</v>
      </c>
      <c r="N179" s="8">
        <v>0</v>
      </c>
      <c r="O179" s="8">
        <v>0</v>
      </c>
      <c r="P179" s="19">
        <f t="shared" si="0"/>
        <v>0</v>
      </c>
    </row>
    <row r="180" spans="1:16" ht="13.2" x14ac:dyDescent="0.25">
      <c r="A180" s="8">
        <v>0</v>
      </c>
      <c r="B180" s="8">
        <v>0</v>
      </c>
      <c r="C180" s="8">
        <v>0</v>
      </c>
      <c r="D180" s="8">
        <v>0</v>
      </c>
      <c r="E180" s="8">
        <v>0</v>
      </c>
      <c r="F180" s="8">
        <v>0</v>
      </c>
      <c r="G180" s="8">
        <v>0</v>
      </c>
      <c r="H180" s="8">
        <v>0</v>
      </c>
      <c r="I180" s="8">
        <v>0</v>
      </c>
      <c r="J180" s="8">
        <v>0</v>
      </c>
      <c r="K180" s="8">
        <v>0</v>
      </c>
      <c r="L180" s="8">
        <v>0</v>
      </c>
      <c r="M180" s="8">
        <v>0</v>
      </c>
      <c r="N180" s="8">
        <v>0</v>
      </c>
      <c r="O180" s="8">
        <v>0</v>
      </c>
      <c r="P180" s="19">
        <f t="shared" si="0"/>
        <v>0</v>
      </c>
    </row>
    <row r="181" spans="1:16" ht="13.2" x14ac:dyDescent="0.25">
      <c r="A181" s="8">
        <v>0</v>
      </c>
      <c r="B181" s="8">
        <v>0</v>
      </c>
      <c r="C181" s="8">
        <v>0</v>
      </c>
      <c r="D181" s="8">
        <v>0</v>
      </c>
      <c r="E181" s="8">
        <v>0</v>
      </c>
      <c r="F181" s="8">
        <v>0</v>
      </c>
      <c r="G181" s="8">
        <v>0</v>
      </c>
      <c r="H181" s="8">
        <v>0</v>
      </c>
      <c r="I181" s="8">
        <v>0</v>
      </c>
      <c r="J181" s="8">
        <v>0</v>
      </c>
      <c r="K181" s="8">
        <v>0</v>
      </c>
      <c r="L181" s="8">
        <v>0</v>
      </c>
      <c r="M181" s="8">
        <v>0</v>
      </c>
      <c r="N181" s="8">
        <v>0</v>
      </c>
      <c r="O181" s="8">
        <v>0</v>
      </c>
      <c r="P181" s="19">
        <f t="shared" si="0"/>
        <v>0</v>
      </c>
    </row>
    <row r="182" spans="1:16" ht="13.2" x14ac:dyDescent="0.25">
      <c r="A182" s="8">
        <v>0</v>
      </c>
      <c r="B182" s="8">
        <v>0</v>
      </c>
      <c r="C182" s="8">
        <v>0</v>
      </c>
      <c r="D182" s="8">
        <v>0</v>
      </c>
      <c r="E182" s="8">
        <v>0</v>
      </c>
      <c r="F182" s="8">
        <v>0</v>
      </c>
      <c r="G182" s="8">
        <v>0</v>
      </c>
      <c r="H182" s="8">
        <v>0</v>
      </c>
      <c r="I182" s="8">
        <v>0</v>
      </c>
      <c r="J182" s="8">
        <v>0</v>
      </c>
      <c r="K182" s="8">
        <v>0</v>
      </c>
      <c r="L182" s="8">
        <v>0</v>
      </c>
      <c r="M182" s="8">
        <v>0</v>
      </c>
      <c r="N182" s="8">
        <v>0</v>
      </c>
      <c r="O182" s="8">
        <v>0</v>
      </c>
      <c r="P182" s="19">
        <f t="shared" si="0"/>
        <v>0</v>
      </c>
    </row>
    <row r="183" spans="1:16" ht="13.2" x14ac:dyDescent="0.25">
      <c r="A183" s="8">
        <v>0</v>
      </c>
      <c r="B183" s="8">
        <v>0</v>
      </c>
      <c r="C183" s="8">
        <v>0</v>
      </c>
      <c r="D183" s="8">
        <v>0</v>
      </c>
      <c r="E183" s="8">
        <v>0</v>
      </c>
      <c r="F183" s="8">
        <v>0</v>
      </c>
      <c r="G183" s="8">
        <v>0</v>
      </c>
      <c r="H183" s="8">
        <v>0</v>
      </c>
      <c r="I183" s="8">
        <v>0</v>
      </c>
      <c r="J183" s="8">
        <v>0</v>
      </c>
      <c r="K183" s="8">
        <v>0</v>
      </c>
      <c r="L183" s="8">
        <v>0</v>
      </c>
      <c r="M183" s="8">
        <v>0</v>
      </c>
      <c r="N183" s="8">
        <v>0</v>
      </c>
      <c r="O183" s="8">
        <v>0</v>
      </c>
      <c r="P183" s="19">
        <f t="shared" si="0"/>
        <v>0</v>
      </c>
    </row>
    <row r="184" spans="1:16" ht="13.2" x14ac:dyDescent="0.25">
      <c r="A184" s="8">
        <v>0</v>
      </c>
      <c r="B184" s="8">
        <v>0</v>
      </c>
      <c r="C184" s="8">
        <v>0</v>
      </c>
      <c r="D184" s="8">
        <v>0</v>
      </c>
      <c r="E184" s="8">
        <v>0</v>
      </c>
      <c r="F184" s="8">
        <v>0</v>
      </c>
      <c r="G184" s="8">
        <v>0</v>
      </c>
      <c r="H184" s="8">
        <v>0</v>
      </c>
      <c r="I184" s="8">
        <v>0</v>
      </c>
      <c r="J184" s="8">
        <v>0</v>
      </c>
      <c r="K184" s="8">
        <v>0</v>
      </c>
      <c r="L184" s="8">
        <v>0</v>
      </c>
      <c r="M184" s="8">
        <v>0</v>
      </c>
      <c r="N184" s="8">
        <v>0</v>
      </c>
      <c r="O184" s="8">
        <v>0</v>
      </c>
      <c r="P184" s="19">
        <f t="shared" si="0"/>
        <v>0</v>
      </c>
    </row>
    <row r="185" spans="1:16" ht="13.2" x14ac:dyDescent="0.25">
      <c r="A185" s="8">
        <v>0</v>
      </c>
      <c r="B185" s="8">
        <v>0</v>
      </c>
      <c r="C185" s="8">
        <v>0</v>
      </c>
      <c r="D185" s="8">
        <v>0</v>
      </c>
      <c r="E185" s="8">
        <v>0</v>
      </c>
      <c r="F185" s="8">
        <v>0</v>
      </c>
      <c r="G185" s="8">
        <v>0</v>
      </c>
      <c r="H185" s="8">
        <v>0</v>
      </c>
      <c r="I185" s="8">
        <v>0</v>
      </c>
      <c r="J185" s="8">
        <v>0</v>
      </c>
      <c r="K185" s="8">
        <v>0</v>
      </c>
      <c r="L185" s="8">
        <v>0</v>
      </c>
      <c r="M185" s="8">
        <v>0</v>
      </c>
      <c r="N185" s="8">
        <v>0</v>
      </c>
      <c r="O185" s="8">
        <v>0</v>
      </c>
      <c r="P185" s="19">
        <f t="shared" si="0"/>
        <v>0</v>
      </c>
    </row>
    <row r="186" spans="1:16" ht="13.2" x14ac:dyDescent="0.25">
      <c r="A186" s="8">
        <v>0</v>
      </c>
      <c r="B186" s="8">
        <v>0</v>
      </c>
      <c r="C186" s="8">
        <v>0</v>
      </c>
      <c r="D186" s="8">
        <v>0</v>
      </c>
      <c r="E186" s="8">
        <v>0</v>
      </c>
      <c r="F186" s="8">
        <v>0</v>
      </c>
      <c r="G186" s="8">
        <v>0</v>
      </c>
      <c r="H186" s="8">
        <v>0</v>
      </c>
      <c r="I186" s="8">
        <v>0</v>
      </c>
      <c r="J186" s="8">
        <v>0</v>
      </c>
      <c r="K186" s="8">
        <v>0</v>
      </c>
      <c r="L186" s="8">
        <v>0</v>
      </c>
      <c r="M186" s="8">
        <v>0</v>
      </c>
      <c r="N186" s="8">
        <v>0</v>
      </c>
      <c r="O186" s="8">
        <v>0</v>
      </c>
      <c r="P186" s="19">
        <f t="shared" si="0"/>
        <v>0</v>
      </c>
    </row>
    <row r="187" spans="1:16" ht="13.2" x14ac:dyDescent="0.25">
      <c r="A187" s="8">
        <v>0</v>
      </c>
      <c r="B187" s="8">
        <v>0</v>
      </c>
      <c r="C187" s="8">
        <v>0</v>
      </c>
      <c r="D187" s="8">
        <v>0</v>
      </c>
      <c r="E187" s="8">
        <v>0</v>
      </c>
      <c r="F187" s="8">
        <v>0</v>
      </c>
      <c r="G187" s="8">
        <v>0</v>
      </c>
      <c r="H187" s="8">
        <v>0</v>
      </c>
      <c r="I187" s="8">
        <v>0</v>
      </c>
      <c r="J187" s="8">
        <v>0</v>
      </c>
      <c r="K187" s="8">
        <v>0</v>
      </c>
      <c r="L187" s="8">
        <v>0</v>
      </c>
      <c r="M187" s="8">
        <v>0</v>
      </c>
      <c r="N187" s="8">
        <v>0</v>
      </c>
      <c r="O187" s="8">
        <v>0</v>
      </c>
      <c r="P187" s="19">
        <f t="shared" si="0"/>
        <v>0</v>
      </c>
    </row>
    <row r="188" spans="1:16" ht="13.2" x14ac:dyDescent="0.25">
      <c r="A188" s="8">
        <v>0</v>
      </c>
      <c r="B188" s="8">
        <v>0</v>
      </c>
      <c r="C188" s="8">
        <v>0</v>
      </c>
      <c r="D188" s="8">
        <v>0</v>
      </c>
      <c r="E188" s="8">
        <v>0</v>
      </c>
      <c r="F188" s="8">
        <v>0</v>
      </c>
      <c r="G188" s="8">
        <v>0</v>
      </c>
      <c r="H188" s="8">
        <v>0</v>
      </c>
      <c r="I188" s="8">
        <v>0</v>
      </c>
      <c r="J188" s="8">
        <v>0</v>
      </c>
      <c r="K188" s="8">
        <v>0</v>
      </c>
      <c r="L188" s="8">
        <v>0</v>
      </c>
      <c r="M188" s="8">
        <v>0</v>
      </c>
      <c r="N188" s="8">
        <v>0</v>
      </c>
      <c r="O188" s="8">
        <v>0</v>
      </c>
      <c r="P188" s="19">
        <f t="shared" si="0"/>
        <v>0</v>
      </c>
    </row>
    <row r="189" spans="1:16" ht="13.2" x14ac:dyDescent="0.25">
      <c r="A189" s="8">
        <v>0</v>
      </c>
      <c r="B189" s="8">
        <v>0</v>
      </c>
      <c r="C189" s="8">
        <v>0</v>
      </c>
      <c r="D189" s="8">
        <v>0</v>
      </c>
      <c r="E189" s="8">
        <v>0</v>
      </c>
      <c r="F189" s="8">
        <v>0</v>
      </c>
      <c r="G189" s="8">
        <v>0</v>
      </c>
      <c r="H189" s="8">
        <v>0</v>
      </c>
      <c r="I189" s="8">
        <v>0</v>
      </c>
      <c r="J189" s="8">
        <v>0</v>
      </c>
      <c r="K189" s="8">
        <v>0</v>
      </c>
      <c r="L189" s="8">
        <v>0</v>
      </c>
      <c r="M189" s="8">
        <v>0</v>
      </c>
      <c r="N189" s="8">
        <v>0</v>
      </c>
      <c r="O189" s="8">
        <v>0</v>
      </c>
      <c r="P189" s="19">
        <f t="shared" si="0"/>
        <v>0</v>
      </c>
    </row>
    <row r="190" spans="1:16" ht="13.2" x14ac:dyDescent="0.25">
      <c r="A190" s="8">
        <v>0</v>
      </c>
      <c r="B190" s="8">
        <v>0</v>
      </c>
      <c r="C190" s="8">
        <v>0</v>
      </c>
      <c r="D190" s="8">
        <v>0</v>
      </c>
      <c r="E190" s="8">
        <v>0</v>
      </c>
      <c r="F190" s="8">
        <v>0</v>
      </c>
      <c r="G190" s="8">
        <v>0</v>
      </c>
      <c r="H190" s="8">
        <v>0</v>
      </c>
      <c r="I190" s="8">
        <v>0</v>
      </c>
      <c r="J190" s="8">
        <v>0</v>
      </c>
      <c r="K190" s="8">
        <v>0</v>
      </c>
      <c r="L190" s="8">
        <v>0</v>
      </c>
      <c r="M190" s="8">
        <v>0</v>
      </c>
      <c r="N190" s="8">
        <v>0</v>
      </c>
      <c r="O190" s="8">
        <v>0</v>
      </c>
      <c r="P190" s="19">
        <f t="shared" si="0"/>
        <v>0</v>
      </c>
    </row>
    <row r="191" spans="1:16" ht="13.2" x14ac:dyDescent="0.25">
      <c r="A191" s="8">
        <v>0</v>
      </c>
      <c r="B191" s="8">
        <v>0</v>
      </c>
      <c r="C191" s="8">
        <v>0</v>
      </c>
      <c r="D191" s="8">
        <v>0</v>
      </c>
      <c r="E191" s="8">
        <v>0</v>
      </c>
      <c r="F191" s="8">
        <v>0</v>
      </c>
      <c r="G191" s="8">
        <v>0</v>
      </c>
      <c r="H191" s="8">
        <v>0</v>
      </c>
      <c r="I191" s="8">
        <v>0</v>
      </c>
      <c r="J191" s="8">
        <v>0</v>
      </c>
      <c r="K191" s="8">
        <v>0</v>
      </c>
      <c r="L191" s="8">
        <v>0</v>
      </c>
      <c r="M191" s="8">
        <v>0</v>
      </c>
      <c r="N191" s="8">
        <v>0</v>
      </c>
      <c r="O191" s="8">
        <v>0</v>
      </c>
      <c r="P191" s="19">
        <f t="shared" si="0"/>
        <v>0</v>
      </c>
    </row>
    <row r="192" spans="1:16" ht="13.2" x14ac:dyDescent="0.25">
      <c r="A192" s="8">
        <v>0</v>
      </c>
      <c r="B192" s="8">
        <v>0</v>
      </c>
      <c r="C192" s="8">
        <v>0</v>
      </c>
      <c r="D192" s="8">
        <v>0</v>
      </c>
      <c r="E192" s="8">
        <v>0</v>
      </c>
      <c r="F192" s="8">
        <v>0</v>
      </c>
      <c r="G192" s="8">
        <v>0</v>
      </c>
      <c r="H192" s="8">
        <v>0</v>
      </c>
      <c r="I192" s="8">
        <v>0</v>
      </c>
      <c r="J192" s="8">
        <v>0</v>
      </c>
      <c r="K192" s="8">
        <v>0</v>
      </c>
      <c r="L192" s="8">
        <v>0</v>
      </c>
      <c r="M192" s="8">
        <v>0</v>
      </c>
      <c r="N192" s="8">
        <v>0</v>
      </c>
      <c r="O192" s="8">
        <v>0</v>
      </c>
      <c r="P192" s="19">
        <f t="shared" si="0"/>
        <v>0</v>
      </c>
    </row>
    <row r="193" spans="1:16" ht="13.2" x14ac:dyDescent="0.25">
      <c r="A193" s="8">
        <v>0</v>
      </c>
      <c r="B193" s="8">
        <v>0</v>
      </c>
      <c r="C193" s="8">
        <v>0</v>
      </c>
      <c r="D193" s="8">
        <v>0</v>
      </c>
      <c r="E193" s="8">
        <v>0</v>
      </c>
      <c r="F193" s="8">
        <v>0</v>
      </c>
      <c r="G193" s="8">
        <v>0</v>
      </c>
      <c r="H193" s="8">
        <v>0</v>
      </c>
      <c r="I193" s="8">
        <v>0</v>
      </c>
      <c r="J193" s="8">
        <v>0</v>
      </c>
      <c r="K193" s="8">
        <v>0</v>
      </c>
      <c r="L193" s="8">
        <v>0</v>
      </c>
      <c r="M193" s="8">
        <v>0</v>
      </c>
      <c r="N193" s="8">
        <v>0</v>
      </c>
      <c r="O193" s="8">
        <v>0</v>
      </c>
      <c r="P193" s="19">
        <f t="shared" si="0"/>
        <v>0</v>
      </c>
    </row>
    <row r="194" spans="1:16" ht="13.2" x14ac:dyDescent="0.25">
      <c r="A194" s="8">
        <v>0</v>
      </c>
      <c r="B194" s="8">
        <v>0</v>
      </c>
      <c r="C194" s="8">
        <v>0</v>
      </c>
      <c r="D194" s="8">
        <v>0</v>
      </c>
      <c r="E194" s="8">
        <v>0</v>
      </c>
      <c r="F194" s="8">
        <v>0</v>
      </c>
      <c r="G194" s="8">
        <v>0</v>
      </c>
      <c r="H194" s="8">
        <v>0</v>
      </c>
      <c r="I194" s="8">
        <v>0</v>
      </c>
      <c r="J194" s="8">
        <v>0</v>
      </c>
      <c r="K194" s="8">
        <v>0</v>
      </c>
      <c r="L194" s="8">
        <v>0</v>
      </c>
      <c r="M194" s="8">
        <v>0</v>
      </c>
      <c r="N194" s="8">
        <v>0</v>
      </c>
      <c r="O194" s="8">
        <v>0</v>
      </c>
      <c r="P194" s="19">
        <f t="shared" si="0"/>
        <v>0</v>
      </c>
    </row>
    <row r="195" spans="1:16" ht="13.2" x14ac:dyDescent="0.25">
      <c r="A195" s="8">
        <v>0</v>
      </c>
      <c r="B195" s="8">
        <v>0</v>
      </c>
      <c r="C195" s="8">
        <v>0</v>
      </c>
      <c r="D195" s="8">
        <v>0</v>
      </c>
      <c r="E195" s="8">
        <v>0</v>
      </c>
      <c r="F195" s="8">
        <v>0</v>
      </c>
      <c r="G195" s="8">
        <v>0</v>
      </c>
      <c r="H195" s="8">
        <v>0</v>
      </c>
      <c r="I195" s="8">
        <v>0</v>
      </c>
      <c r="J195" s="8">
        <v>0</v>
      </c>
      <c r="K195" s="8">
        <v>0</v>
      </c>
      <c r="L195" s="8">
        <v>0</v>
      </c>
      <c r="M195" s="8">
        <v>0</v>
      </c>
      <c r="N195" s="8">
        <v>0</v>
      </c>
      <c r="O195" s="8">
        <v>0</v>
      </c>
      <c r="P195" s="19">
        <f t="shared" si="0"/>
        <v>0</v>
      </c>
    </row>
    <row r="196" spans="1:16" ht="13.2" x14ac:dyDescent="0.25">
      <c r="A196" s="8">
        <v>0</v>
      </c>
      <c r="B196" s="8">
        <v>0</v>
      </c>
      <c r="C196" s="8">
        <v>0</v>
      </c>
      <c r="D196" s="8">
        <v>0</v>
      </c>
      <c r="E196" s="8">
        <v>0</v>
      </c>
      <c r="F196" s="8">
        <v>0</v>
      </c>
      <c r="G196" s="8">
        <v>0</v>
      </c>
      <c r="H196" s="8">
        <v>0</v>
      </c>
      <c r="I196" s="8">
        <v>0</v>
      </c>
      <c r="J196" s="8">
        <v>0</v>
      </c>
      <c r="K196" s="8">
        <v>0</v>
      </c>
      <c r="L196" s="8">
        <v>0</v>
      </c>
      <c r="M196" s="8">
        <v>0</v>
      </c>
      <c r="N196" s="8">
        <v>0</v>
      </c>
      <c r="O196" s="8">
        <v>0</v>
      </c>
      <c r="P196" s="19">
        <f t="shared" si="0"/>
        <v>0</v>
      </c>
    </row>
    <row r="197" spans="1:16" ht="13.2" x14ac:dyDescent="0.25">
      <c r="A197" s="8">
        <v>0</v>
      </c>
      <c r="B197" s="8">
        <v>0</v>
      </c>
      <c r="C197" s="8">
        <v>0</v>
      </c>
      <c r="D197" s="8">
        <v>0</v>
      </c>
      <c r="E197" s="8">
        <v>0</v>
      </c>
      <c r="F197" s="8">
        <v>0</v>
      </c>
      <c r="G197" s="8">
        <v>0</v>
      </c>
      <c r="H197" s="8">
        <v>0</v>
      </c>
      <c r="I197" s="8">
        <v>0</v>
      </c>
      <c r="J197" s="8">
        <v>0</v>
      </c>
      <c r="K197" s="8">
        <v>0</v>
      </c>
      <c r="L197" s="8">
        <v>0</v>
      </c>
      <c r="M197" s="8">
        <v>0</v>
      </c>
      <c r="N197" s="8">
        <v>0</v>
      </c>
      <c r="O197" s="8">
        <v>0</v>
      </c>
      <c r="P197" s="19">
        <f t="shared" si="0"/>
        <v>0</v>
      </c>
    </row>
    <row r="198" spans="1:16" ht="13.2" x14ac:dyDescent="0.25">
      <c r="A198" s="8">
        <v>0</v>
      </c>
      <c r="B198" s="8">
        <v>0</v>
      </c>
      <c r="C198" s="8">
        <v>0</v>
      </c>
      <c r="D198" s="8">
        <v>0</v>
      </c>
      <c r="E198" s="8">
        <v>0</v>
      </c>
      <c r="F198" s="8">
        <v>0</v>
      </c>
      <c r="G198" s="8">
        <v>0</v>
      </c>
      <c r="H198" s="8">
        <v>0</v>
      </c>
      <c r="I198" s="8">
        <v>0</v>
      </c>
      <c r="J198" s="8">
        <v>0</v>
      </c>
      <c r="K198" s="8">
        <v>0</v>
      </c>
      <c r="L198" s="8">
        <v>0</v>
      </c>
      <c r="M198" s="8">
        <v>0</v>
      </c>
      <c r="N198" s="8">
        <v>0</v>
      </c>
      <c r="O198" s="8">
        <v>0</v>
      </c>
      <c r="P198" s="19">
        <f t="shared" si="0"/>
        <v>0</v>
      </c>
    </row>
    <row r="199" spans="1:16" ht="13.2" x14ac:dyDescent="0.25">
      <c r="A199" s="8">
        <v>0</v>
      </c>
      <c r="B199" s="8">
        <v>0</v>
      </c>
      <c r="C199" s="8">
        <v>0</v>
      </c>
      <c r="D199" s="8">
        <v>0</v>
      </c>
      <c r="E199" s="8">
        <v>0</v>
      </c>
      <c r="F199" s="8">
        <v>0</v>
      </c>
      <c r="G199" s="8">
        <v>0</v>
      </c>
      <c r="H199" s="8">
        <v>0</v>
      </c>
      <c r="I199" s="8">
        <v>0</v>
      </c>
      <c r="J199" s="8">
        <v>0</v>
      </c>
      <c r="K199" s="8">
        <v>0</v>
      </c>
      <c r="L199" s="8">
        <v>0</v>
      </c>
      <c r="M199" s="8">
        <v>0</v>
      </c>
      <c r="N199" s="8">
        <v>0</v>
      </c>
      <c r="O199" s="8">
        <v>0</v>
      </c>
      <c r="P199" s="19">
        <f t="shared" si="0"/>
        <v>0</v>
      </c>
    </row>
    <row r="200" spans="1:16" ht="13.2" x14ac:dyDescent="0.25">
      <c r="A200" s="8">
        <v>0</v>
      </c>
      <c r="B200" s="8">
        <v>0</v>
      </c>
      <c r="C200" s="8">
        <v>0</v>
      </c>
      <c r="D200" s="8">
        <v>0</v>
      </c>
      <c r="E200" s="8">
        <v>0</v>
      </c>
      <c r="F200" s="8">
        <v>0</v>
      </c>
      <c r="G200" s="8">
        <v>0</v>
      </c>
      <c r="H200" s="8">
        <v>0</v>
      </c>
      <c r="I200" s="8">
        <v>0</v>
      </c>
      <c r="J200" s="8">
        <v>0</v>
      </c>
      <c r="K200" s="8">
        <v>0</v>
      </c>
      <c r="L200" s="8">
        <v>0</v>
      </c>
      <c r="M200" s="8">
        <v>0</v>
      </c>
      <c r="N200" s="8">
        <v>0</v>
      </c>
      <c r="O200" s="8">
        <v>0</v>
      </c>
      <c r="P200" s="19">
        <f t="shared" si="0"/>
        <v>0</v>
      </c>
    </row>
    <row r="201" spans="1:16" ht="13.2" x14ac:dyDescent="0.25">
      <c r="A201" s="8">
        <v>0</v>
      </c>
      <c r="B201" s="8">
        <v>0</v>
      </c>
      <c r="C201" s="8">
        <v>0</v>
      </c>
      <c r="D201" s="8">
        <v>0</v>
      </c>
      <c r="E201" s="8">
        <v>0</v>
      </c>
      <c r="F201" s="8">
        <v>0</v>
      </c>
      <c r="G201" s="8">
        <v>0</v>
      </c>
      <c r="H201" s="8">
        <v>0</v>
      </c>
      <c r="I201" s="8">
        <v>0</v>
      </c>
      <c r="J201" s="8">
        <v>0</v>
      </c>
      <c r="K201" s="8">
        <v>0</v>
      </c>
      <c r="L201" s="8">
        <v>0</v>
      </c>
      <c r="M201" s="8">
        <v>0</v>
      </c>
      <c r="N201" s="8">
        <v>0</v>
      </c>
      <c r="O201" s="8">
        <v>0</v>
      </c>
      <c r="P201" s="19">
        <f t="shared" si="0"/>
        <v>0</v>
      </c>
    </row>
    <row r="202" spans="1:16" ht="13.2" x14ac:dyDescent="0.25">
      <c r="A202" s="8">
        <v>0</v>
      </c>
      <c r="B202" s="8">
        <v>0</v>
      </c>
      <c r="C202" s="8">
        <v>0</v>
      </c>
      <c r="D202" s="8">
        <v>0</v>
      </c>
      <c r="E202" s="8">
        <v>0</v>
      </c>
      <c r="F202" s="8">
        <v>0</v>
      </c>
      <c r="G202" s="8">
        <v>0</v>
      </c>
      <c r="H202" s="8">
        <v>0</v>
      </c>
      <c r="I202" s="8">
        <v>0</v>
      </c>
      <c r="J202" s="8">
        <v>0</v>
      </c>
      <c r="K202" s="8">
        <v>0</v>
      </c>
      <c r="L202" s="8">
        <v>0</v>
      </c>
      <c r="M202" s="8">
        <v>0</v>
      </c>
      <c r="N202" s="8">
        <v>0</v>
      </c>
      <c r="O202" s="8">
        <v>0</v>
      </c>
      <c r="P202" s="19">
        <f t="shared" si="0"/>
        <v>0</v>
      </c>
    </row>
    <row r="203" spans="1:16" ht="13.2" x14ac:dyDescent="0.25">
      <c r="A203" s="8">
        <v>0</v>
      </c>
      <c r="B203" s="8">
        <v>0</v>
      </c>
      <c r="C203" s="8">
        <v>0</v>
      </c>
      <c r="D203" s="8">
        <v>0</v>
      </c>
      <c r="E203" s="8">
        <v>0</v>
      </c>
      <c r="F203" s="8">
        <v>0</v>
      </c>
      <c r="G203" s="8">
        <v>0</v>
      </c>
      <c r="H203" s="8">
        <v>0</v>
      </c>
      <c r="I203" s="8">
        <v>0</v>
      </c>
      <c r="J203" s="8">
        <v>0</v>
      </c>
      <c r="K203" s="8">
        <v>0</v>
      </c>
      <c r="L203" s="8">
        <v>0</v>
      </c>
      <c r="M203" s="8">
        <v>0</v>
      </c>
      <c r="N203" s="8">
        <v>0</v>
      </c>
      <c r="O203" s="8">
        <v>0</v>
      </c>
      <c r="P203" s="19">
        <f t="shared" si="0"/>
        <v>0</v>
      </c>
    </row>
    <row r="204" spans="1:16" ht="13.2" x14ac:dyDescent="0.25">
      <c r="A204" s="8">
        <v>0</v>
      </c>
      <c r="B204" s="8">
        <v>0</v>
      </c>
      <c r="C204" s="8">
        <v>0</v>
      </c>
      <c r="D204" s="8">
        <v>0</v>
      </c>
      <c r="E204" s="8">
        <v>0</v>
      </c>
      <c r="F204" s="8">
        <v>0</v>
      </c>
      <c r="G204" s="8">
        <v>0</v>
      </c>
      <c r="H204" s="8">
        <v>0</v>
      </c>
      <c r="I204" s="8">
        <v>0</v>
      </c>
      <c r="J204" s="8">
        <v>0</v>
      </c>
      <c r="K204" s="8">
        <v>0</v>
      </c>
      <c r="L204" s="8">
        <v>0</v>
      </c>
      <c r="M204" s="8">
        <v>0</v>
      </c>
      <c r="N204" s="8">
        <v>0</v>
      </c>
      <c r="O204" s="8">
        <v>0</v>
      </c>
      <c r="P204" s="19">
        <f t="shared" si="0"/>
        <v>0</v>
      </c>
    </row>
    <row r="205" spans="1:16" ht="13.2" x14ac:dyDescent="0.25">
      <c r="A205" s="8">
        <v>0</v>
      </c>
      <c r="B205" s="8">
        <v>0</v>
      </c>
      <c r="C205" s="8">
        <v>0</v>
      </c>
      <c r="D205" s="8">
        <v>0</v>
      </c>
      <c r="E205" s="8">
        <v>0</v>
      </c>
      <c r="F205" s="8">
        <v>0</v>
      </c>
      <c r="G205" s="8">
        <v>0</v>
      </c>
      <c r="H205" s="8">
        <v>0</v>
      </c>
      <c r="I205" s="8">
        <v>0</v>
      </c>
      <c r="J205" s="8">
        <v>0</v>
      </c>
      <c r="K205" s="8">
        <v>0</v>
      </c>
      <c r="L205" s="8">
        <v>0</v>
      </c>
      <c r="M205" s="8">
        <v>0</v>
      </c>
      <c r="N205" s="8">
        <v>0</v>
      </c>
      <c r="O205" s="8">
        <v>0</v>
      </c>
      <c r="P205" s="19">
        <f t="shared" si="0"/>
        <v>0</v>
      </c>
    </row>
    <row r="206" spans="1:16" ht="13.2" x14ac:dyDescent="0.25">
      <c r="A206" s="8">
        <v>0</v>
      </c>
      <c r="B206" s="8">
        <v>0</v>
      </c>
      <c r="C206" s="8">
        <v>0</v>
      </c>
      <c r="D206" s="8">
        <v>0</v>
      </c>
      <c r="E206" s="8">
        <v>0</v>
      </c>
      <c r="F206" s="8">
        <v>0</v>
      </c>
      <c r="G206" s="8">
        <v>0</v>
      </c>
      <c r="H206" s="8">
        <v>0</v>
      </c>
      <c r="I206" s="8">
        <v>0</v>
      </c>
      <c r="J206" s="8">
        <v>0</v>
      </c>
      <c r="K206" s="8">
        <v>0</v>
      </c>
      <c r="L206" s="8">
        <v>0</v>
      </c>
      <c r="M206" s="8">
        <v>0</v>
      </c>
      <c r="N206" s="8">
        <v>0</v>
      </c>
      <c r="O206" s="8">
        <v>0</v>
      </c>
      <c r="P206" s="19">
        <f t="shared" si="0"/>
        <v>0</v>
      </c>
    </row>
    <row r="207" spans="1:16" ht="13.2" x14ac:dyDescent="0.25">
      <c r="A207" s="8">
        <v>0</v>
      </c>
      <c r="B207" s="8">
        <v>0</v>
      </c>
      <c r="C207" s="8">
        <v>0</v>
      </c>
      <c r="D207" s="8">
        <v>0</v>
      </c>
      <c r="E207" s="8">
        <v>0</v>
      </c>
      <c r="F207" s="8">
        <v>0</v>
      </c>
      <c r="G207" s="8">
        <v>0</v>
      </c>
      <c r="H207" s="8">
        <v>0</v>
      </c>
      <c r="I207" s="8">
        <v>0</v>
      </c>
      <c r="J207" s="8">
        <v>0</v>
      </c>
      <c r="K207" s="8">
        <v>0</v>
      </c>
      <c r="L207" s="8">
        <v>0</v>
      </c>
      <c r="M207" s="8">
        <v>0</v>
      </c>
      <c r="N207" s="8">
        <v>0</v>
      </c>
      <c r="O207" s="8">
        <v>0</v>
      </c>
      <c r="P207" s="19">
        <f t="shared" si="0"/>
        <v>0</v>
      </c>
    </row>
    <row r="208" spans="1:16" ht="13.2" x14ac:dyDescent="0.25">
      <c r="A208" s="8">
        <v>0</v>
      </c>
      <c r="B208" s="8">
        <v>0</v>
      </c>
      <c r="C208" s="8">
        <v>0</v>
      </c>
      <c r="D208" s="8">
        <v>0</v>
      </c>
      <c r="E208" s="8">
        <v>0</v>
      </c>
      <c r="F208" s="8">
        <v>0</v>
      </c>
      <c r="G208" s="8">
        <v>0</v>
      </c>
      <c r="H208" s="8">
        <v>0</v>
      </c>
      <c r="I208" s="8">
        <v>0</v>
      </c>
      <c r="J208" s="8">
        <v>0</v>
      </c>
      <c r="K208" s="8">
        <v>0</v>
      </c>
      <c r="L208" s="8">
        <v>0</v>
      </c>
      <c r="M208" s="8">
        <v>0</v>
      </c>
      <c r="N208" s="8">
        <v>0</v>
      </c>
      <c r="O208" s="8">
        <v>0</v>
      </c>
      <c r="P208" s="19">
        <f t="shared" si="0"/>
        <v>0</v>
      </c>
    </row>
    <row r="209" spans="1:16" ht="13.2" x14ac:dyDescent="0.25">
      <c r="A209" s="8">
        <v>0</v>
      </c>
      <c r="B209" s="8">
        <v>0</v>
      </c>
      <c r="C209" s="8">
        <v>0</v>
      </c>
      <c r="D209" s="8">
        <v>0</v>
      </c>
      <c r="E209" s="8">
        <v>0</v>
      </c>
      <c r="F209" s="8">
        <v>0</v>
      </c>
      <c r="G209" s="8">
        <v>0</v>
      </c>
      <c r="H209" s="8">
        <v>0</v>
      </c>
      <c r="I209" s="8">
        <v>0</v>
      </c>
      <c r="J209" s="8">
        <v>0</v>
      </c>
      <c r="K209" s="8">
        <v>0</v>
      </c>
      <c r="L209" s="8">
        <v>0</v>
      </c>
      <c r="M209" s="8">
        <v>0</v>
      </c>
      <c r="N209" s="8">
        <v>0</v>
      </c>
      <c r="O209" s="8">
        <v>0</v>
      </c>
      <c r="P209" s="19">
        <f t="shared" si="0"/>
        <v>0</v>
      </c>
    </row>
    <row r="210" spans="1:16" ht="13.2" x14ac:dyDescent="0.25">
      <c r="A210" s="8">
        <v>0</v>
      </c>
      <c r="B210" s="8">
        <v>0</v>
      </c>
      <c r="C210" s="8">
        <v>0</v>
      </c>
      <c r="D210" s="8">
        <v>0</v>
      </c>
      <c r="E210" s="8">
        <v>0</v>
      </c>
      <c r="F210" s="8">
        <v>0</v>
      </c>
      <c r="G210" s="8">
        <v>0</v>
      </c>
      <c r="H210" s="8">
        <v>0</v>
      </c>
      <c r="I210" s="8">
        <v>0</v>
      </c>
      <c r="J210" s="8">
        <v>0</v>
      </c>
      <c r="K210" s="8">
        <v>0</v>
      </c>
      <c r="L210" s="8">
        <v>0</v>
      </c>
      <c r="M210" s="8">
        <v>0</v>
      </c>
      <c r="N210" s="8">
        <v>0</v>
      </c>
      <c r="O210" s="8">
        <v>0</v>
      </c>
      <c r="P210" s="19">
        <f t="shared" si="0"/>
        <v>0</v>
      </c>
    </row>
    <row r="211" spans="1:16" ht="13.2" x14ac:dyDescent="0.25">
      <c r="A211" s="8">
        <v>0</v>
      </c>
      <c r="B211" s="8">
        <v>0</v>
      </c>
      <c r="C211" s="8">
        <v>0</v>
      </c>
      <c r="D211" s="8">
        <v>0</v>
      </c>
      <c r="E211" s="8">
        <v>0</v>
      </c>
      <c r="F211" s="8">
        <v>0</v>
      </c>
      <c r="G211" s="8">
        <v>0</v>
      </c>
      <c r="H211" s="8">
        <v>0</v>
      </c>
      <c r="I211" s="8">
        <v>0</v>
      </c>
      <c r="J211" s="8">
        <v>0</v>
      </c>
      <c r="K211" s="8">
        <v>0</v>
      </c>
      <c r="L211" s="8">
        <v>0</v>
      </c>
      <c r="M211" s="8">
        <v>0</v>
      </c>
      <c r="N211" s="8">
        <v>0</v>
      </c>
      <c r="O211" s="8">
        <v>0</v>
      </c>
      <c r="P211" s="19">
        <f t="shared" si="0"/>
        <v>0</v>
      </c>
    </row>
    <row r="212" spans="1:16" ht="13.2" x14ac:dyDescent="0.25">
      <c r="A212" s="8">
        <v>0</v>
      </c>
      <c r="B212" s="8">
        <v>0</v>
      </c>
      <c r="C212" s="8">
        <v>0</v>
      </c>
      <c r="D212" s="8">
        <v>0</v>
      </c>
      <c r="E212" s="8">
        <v>0</v>
      </c>
      <c r="F212" s="8">
        <v>0</v>
      </c>
      <c r="G212" s="8">
        <v>0</v>
      </c>
      <c r="H212" s="8">
        <v>0</v>
      </c>
      <c r="I212" s="8">
        <v>0</v>
      </c>
      <c r="J212" s="8">
        <v>0</v>
      </c>
      <c r="K212" s="8">
        <v>0</v>
      </c>
      <c r="L212" s="8">
        <v>0</v>
      </c>
      <c r="M212" s="8">
        <v>0</v>
      </c>
      <c r="N212" s="8">
        <v>0</v>
      </c>
      <c r="O212" s="8">
        <v>0</v>
      </c>
      <c r="P212" s="19">
        <f t="shared" si="0"/>
        <v>0</v>
      </c>
    </row>
    <row r="213" spans="1:16" ht="13.2" x14ac:dyDescent="0.25">
      <c r="A213" s="8">
        <v>0</v>
      </c>
      <c r="B213" s="8">
        <v>0</v>
      </c>
      <c r="C213" s="8">
        <v>0</v>
      </c>
      <c r="D213" s="8">
        <v>0</v>
      </c>
      <c r="E213" s="8">
        <v>0</v>
      </c>
      <c r="F213" s="8">
        <v>0</v>
      </c>
      <c r="G213" s="8">
        <v>0</v>
      </c>
      <c r="H213" s="8">
        <v>0</v>
      </c>
      <c r="I213" s="8">
        <v>0</v>
      </c>
      <c r="J213" s="8">
        <v>0</v>
      </c>
      <c r="K213" s="8">
        <v>0</v>
      </c>
      <c r="L213" s="8">
        <v>0</v>
      </c>
      <c r="M213" s="8">
        <v>0</v>
      </c>
      <c r="N213" s="8">
        <v>0</v>
      </c>
      <c r="O213" s="8">
        <v>0</v>
      </c>
      <c r="P213" s="19">
        <f t="shared" si="0"/>
        <v>0</v>
      </c>
    </row>
    <row r="214" spans="1:16" ht="13.2" x14ac:dyDescent="0.25">
      <c r="A214" s="8">
        <v>0</v>
      </c>
      <c r="B214" s="8">
        <v>0</v>
      </c>
      <c r="C214" s="8">
        <v>0</v>
      </c>
      <c r="D214" s="8">
        <v>0</v>
      </c>
      <c r="E214" s="8">
        <v>0</v>
      </c>
      <c r="F214" s="8">
        <v>0</v>
      </c>
      <c r="G214" s="8">
        <v>0</v>
      </c>
      <c r="H214" s="8">
        <v>0</v>
      </c>
      <c r="I214" s="8">
        <v>0</v>
      </c>
      <c r="J214" s="8">
        <v>0</v>
      </c>
      <c r="K214" s="8">
        <v>0</v>
      </c>
      <c r="L214" s="8">
        <v>0</v>
      </c>
      <c r="M214" s="8">
        <v>0</v>
      </c>
      <c r="N214" s="8">
        <v>0</v>
      </c>
      <c r="O214" s="8">
        <v>0</v>
      </c>
      <c r="P214" s="19">
        <f t="shared" si="0"/>
        <v>0</v>
      </c>
    </row>
    <row r="215" spans="1:16" ht="13.2" x14ac:dyDescent="0.25">
      <c r="A215" s="8">
        <v>0</v>
      </c>
      <c r="B215" s="8">
        <v>0</v>
      </c>
      <c r="C215" s="8">
        <v>0</v>
      </c>
      <c r="D215" s="8">
        <v>0</v>
      </c>
      <c r="E215" s="8">
        <v>0</v>
      </c>
      <c r="F215" s="8">
        <v>0</v>
      </c>
      <c r="G215" s="8">
        <v>0</v>
      </c>
      <c r="H215" s="8">
        <v>0</v>
      </c>
      <c r="I215" s="8">
        <v>0</v>
      </c>
      <c r="J215" s="8">
        <v>0</v>
      </c>
      <c r="K215" s="8">
        <v>0</v>
      </c>
      <c r="L215" s="8">
        <v>0</v>
      </c>
      <c r="M215" s="8">
        <v>0</v>
      </c>
      <c r="N215" s="8">
        <v>0</v>
      </c>
      <c r="O215" s="8">
        <v>0</v>
      </c>
      <c r="P215" s="19">
        <f t="shared" si="0"/>
        <v>0</v>
      </c>
    </row>
    <row r="216" spans="1:16" ht="13.2" x14ac:dyDescent="0.25">
      <c r="A216" s="8">
        <v>0</v>
      </c>
      <c r="B216" s="8">
        <v>0</v>
      </c>
      <c r="C216" s="8">
        <v>0</v>
      </c>
      <c r="D216" s="8">
        <v>0</v>
      </c>
      <c r="E216" s="8">
        <v>0</v>
      </c>
      <c r="F216" s="8">
        <v>0</v>
      </c>
      <c r="G216" s="8">
        <v>0</v>
      </c>
      <c r="H216" s="8">
        <v>0</v>
      </c>
      <c r="I216" s="8">
        <v>0</v>
      </c>
      <c r="J216" s="8">
        <v>0</v>
      </c>
      <c r="K216" s="8">
        <v>0</v>
      </c>
      <c r="L216" s="8">
        <v>0</v>
      </c>
      <c r="M216" s="8">
        <v>0</v>
      </c>
      <c r="N216" s="8">
        <v>0</v>
      </c>
      <c r="O216" s="8">
        <v>0</v>
      </c>
      <c r="P216" s="19">
        <f t="shared" si="0"/>
        <v>0</v>
      </c>
    </row>
    <row r="217" spans="1:16" ht="13.2" x14ac:dyDescent="0.25">
      <c r="A217" s="8">
        <v>0</v>
      </c>
      <c r="B217" s="8">
        <v>0</v>
      </c>
      <c r="C217" s="8">
        <v>0</v>
      </c>
      <c r="D217" s="8">
        <v>0</v>
      </c>
      <c r="E217" s="8">
        <v>0</v>
      </c>
      <c r="F217" s="8">
        <v>0</v>
      </c>
      <c r="G217" s="8">
        <v>0</v>
      </c>
      <c r="H217" s="8">
        <v>0</v>
      </c>
      <c r="I217" s="8">
        <v>0</v>
      </c>
      <c r="J217" s="8">
        <v>0</v>
      </c>
      <c r="K217" s="8">
        <v>0</v>
      </c>
      <c r="L217" s="8">
        <v>0</v>
      </c>
      <c r="M217" s="8">
        <v>0</v>
      </c>
      <c r="N217" s="8">
        <v>0</v>
      </c>
      <c r="O217" s="8">
        <v>0</v>
      </c>
      <c r="P217" s="19">
        <f t="shared" si="0"/>
        <v>0</v>
      </c>
    </row>
    <row r="218" spans="1:16" ht="13.2" x14ac:dyDescent="0.25">
      <c r="A218" s="8">
        <v>0</v>
      </c>
      <c r="B218" s="8">
        <v>0</v>
      </c>
      <c r="C218" s="8">
        <v>0</v>
      </c>
      <c r="D218" s="8">
        <v>0</v>
      </c>
      <c r="E218" s="8">
        <v>0</v>
      </c>
      <c r="F218" s="8">
        <v>0</v>
      </c>
      <c r="G218" s="8">
        <v>0</v>
      </c>
      <c r="H218" s="8">
        <v>0</v>
      </c>
      <c r="I218" s="8">
        <v>0</v>
      </c>
      <c r="J218" s="8">
        <v>0</v>
      </c>
      <c r="K218" s="8">
        <v>0</v>
      </c>
      <c r="L218" s="8">
        <v>0</v>
      </c>
      <c r="M218" s="8">
        <v>0</v>
      </c>
      <c r="N218" s="8">
        <v>0</v>
      </c>
      <c r="O218" s="8">
        <v>0</v>
      </c>
      <c r="P218" s="19">
        <f t="shared" si="0"/>
        <v>0</v>
      </c>
    </row>
    <row r="219" spans="1:16" ht="13.2" x14ac:dyDescent="0.25">
      <c r="A219" s="8">
        <v>0</v>
      </c>
      <c r="B219" s="8">
        <v>0</v>
      </c>
      <c r="C219" s="8">
        <v>0</v>
      </c>
      <c r="D219" s="8">
        <v>0</v>
      </c>
      <c r="E219" s="8">
        <v>0</v>
      </c>
      <c r="F219" s="8">
        <v>0</v>
      </c>
      <c r="G219" s="8">
        <v>0</v>
      </c>
      <c r="H219" s="8">
        <v>0</v>
      </c>
      <c r="I219" s="8">
        <v>0</v>
      </c>
      <c r="J219" s="8">
        <v>0</v>
      </c>
      <c r="K219" s="8">
        <v>0</v>
      </c>
      <c r="L219" s="8">
        <v>0</v>
      </c>
      <c r="M219" s="8">
        <v>0</v>
      </c>
      <c r="N219" s="8">
        <v>0</v>
      </c>
      <c r="O219" s="8">
        <v>0</v>
      </c>
      <c r="P219" s="19">
        <f t="shared" si="0"/>
        <v>0</v>
      </c>
    </row>
    <row r="220" spans="1:16" ht="13.2" x14ac:dyDescent="0.25">
      <c r="A220" s="8">
        <v>0</v>
      </c>
      <c r="B220" s="8">
        <v>0</v>
      </c>
      <c r="C220" s="8">
        <v>0</v>
      </c>
      <c r="D220" s="8">
        <v>0</v>
      </c>
      <c r="E220" s="8">
        <v>0</v>
      </c>
      <c r="F220" s="8">
        <v>0</v>
      </c>
      <c r="G220" s="8">
        <v>0</v>
      </c>
      <c r="H220" s="8">
        <v>0</v>
      </c>
      <c r="I220" s="8">
        <v>0</v>
      </c>
      <c r="J220" s="8">
        <v>0</v>
      </c>
      <c r="K220" s="8">
        <v>0</v>
      </c>
      <c r="L220" s="8">
        <v>0</v>
      </c>
      <c r="M220" s="8">
        <v>0</v>
      </c>
      <c r="N220" s="8">
        <v>0</v>
      </c>
      <c r="O220" s="8">
        <v>0</v>
      </c>
      <c r="P220" s="19">
        <f t="shared" si="0"/>
        <v>0</v>
      </c>
    </row>
    <row r="221" spans="1:16" ht="13.2" x14ac:dyDescent="0.25">
      <c r="A221" s="8">
        <v>0</v>
      </c>
      <c r="B221" s="8">
        <v>0</v>
      </c>
      <c r="C221" s="8">
        <v>0</v>
      </c>
      <c r="D221" s="8">
        <v>0</v>
      </c>
      <c r="E221" s="8">
        <v>0</v>
      </c>
      <c r="F221" s="8">
        <v>0</v>
      </c>
      <c r="G221" s="8">
        <v>0</v>
      </c>
      <c r="H221" s="8">
        <v>0</v>
      </c>
      <c r="I221" s="8">
        <v>0</v>
      </c>
      <c r="J221" s="8">
        <v>0</v>
      </c>
      <c r="K221" s="8">
        <v>0</v>
      </c>
      <c r="L221" s="8">
        <v>0</v>
      </c>
      <c r="M221" s="8">
        <v>0</v>
      </c>
      <c r="N221" s="8">
        <v>0</v>
      </c>
      <c r="O221" s="8">
        <v>0</v>
      </c>
      <c r="P221" s="19">
        <f t="shared" si="0"/>
        <v>0</v>
      </c>
    </row>
    <row r="222" spans="1:16" ht="13.2" x14ac:dyDescent="0.25">
      <c r="A222" s="8">
        <v>0</v>
      </c>
      <c r="B222" s="8">
        <v>0</v>
      </c>
      <c r="C222" s="8">
        <v>0</v>
      </c>
      <c r="D222" s="8">
        <v>0</v>
      </c>
      <c r="E222" s="8">
        <v>0</v>
      </c>
      <c r="F222" s="8">
        <v>0</v>
      </c>
      <c r="G222" s="8">
        <v>0</v>
      </c>
      <c r="H222" s="8">
        <v>0</v>
      </c>
      <c r="I222" s="8">
        <v>0</v>
      </c>
      <c r="J222" s="8">
        <v>0</v>
      </c>
      <c r="K222" s="8">
        <v>0</v>
      </c>
      <c r="L222" s="8">
        <v>0</v>
      </c>
      <c r="M222" s="8">
        <v>0</v>
      </c>
      <c r="N222" s="8">
        <v>0</v>
      </c>
      <c r="O222" s="8">
        <v>0</v>
      </c>
      <c r="P222" s="19">
        <f t="shared" si="0"/>
        <v>0</v>
      </c>
    </row>
    <row r="223" spans="1:16" ht="13.2" x14ac:dyDescent="0.25">
      <c r="A223" s="8">
        <v>0</v>
      </c>
      <c r="B223" s="8">
        <v>0</v>
      </c>
      <c r="C223" s="8">
        <v>0</v>
      </c>
      <c r="D223" s="8">
        <v>0</v>
      </c>
      <c r="E223" s="8">
        <v>0</v>
      </c>
      <c r="F223" s="8">
        <v>0</v>
      </c>
      <c r="G223" s="8">
        <v>0</v>
      </c>
      <c r="H223" s="8">
        <v>0</v>
      </c>
      <c r="I223" s="8">
        <v>0</v>
      </c>
      <c r="J223" s="8">
        <v>0</v>
      </c>
      <c r="K223" s="8">
        <v>0</v>
      </c>
      <c r="L223" s="8">
        <v>0</v>
      </c>
      <c r="M223" s="8">
        <v>0</v>
      </c>
      <c r="N223" s="8">
        <v>0</v>
      </c>
      <c r="O223" s="8">
        <v>0</v>
      </c>
      <c r="P223" s="19">
        <f t="shared" si="0"/>
        <v>0</v>
      </c>
    </row>
    <row r="224" spans="1:16" ht="13.2" x14ac:dyDescent="0.25">
      <c r="A224" s="8">
        <v>0</v>
      </c>
      <c r="B224" s="8">
        <v>0</v>
      </c>
      <c r="C224" s="8">
        <v>0</v>
      </c>
      <c r="D224" s="8">
        <v>0</v>
      </c>
      <c r="E224" s="8">
        <v>0</v>
      </c>
      <c r="F224" s="8">
        <v>0</v>
      </c>
      <c r="G224" s="8">
        <v>0</v>
      </c>
      <c r="H224" s="8">
        <v>0</v>
      </c>
      <c r="I224" s="8">
        <v>0</v>
      </c>
      <c r="J224" s="8">
        <v>0</v>
      </c>
      <c r="K224" s="8">
        <v>0</v>
      </c>
      <c r="L224" s="8">
        <v>0</v>
      </c>
      <c r="M224" s="8">
        <v>0</v>
      </c>
      <c r="N224" s="8">
        <v>0</v>
      </c>
      <c r="O224" s="8">
        <v>0</v>
      </c>
      <c r="P224" s="19">
        <f t="shared" si="0"/>
        <v>0</v>
      </c>
    </row>
    <row r="225" spans="1:16" ht="13.2" x14ac:dyDescent="0.25">
      <c r="A225" s="8">
        <v>0</v>
      </c>
      <c r="B225" s="8">
        <v>0</v>
      </c>
      <c r="C225" s="8">
        <v>0</v>
      </c>
      <c r="D225" s="8">
        <v>0</v>
      </c>
      <c r="E225" s="8">
        <v>0</v>
      </c>
      <c r="F225" s="8">
        <v>0</v>
      </c>
      <c r="G225" s="8">
        <v>0</v>
      </c>
      <c r="H225" s="8">
        <v>0</v>
      </c>
      <c r="I225" s="8">
        <v>0</v>
      </c>
      <c r="J225" s="8">
        <v>0</v>
      </c>
      <c r="K225" s="8">
        <v>0</v>
      </c>
      <c r="L225" s="8">
        <v>0</v>
      </c>
      <c r="M225" s="8">
        <v>0</v>
      </c>
      <c r="N225" s="8">
        <v>0</v>
      </c>
      <c r="O225" s="8">
        <v>0</v>
      </c>
      <c r="P225" s="19">
        <f t="shared" si="0"/>
        <v>0</v>
      </c>
    </row>
    <row r="226" spans="1:16" ht="13.2" x14ac:dyDescent="0.25">
      <c r="A226" s="8">
        <v>0</v>
      </c>
      <c r="B226" s="8">
        <v>0</v>
      </c>
      <c r="C226" s="8">
        <v>0</v>
      </c>
      <c r="D226" s="8">
        <v>0</v>
      </c>
      <c r="E226" s="8">
        <v>0</v>
      </c>
      <c r="F226" s="8">
        <v>0</v>
      </c>
      <c r="G226" s="8">
        <v>0</v>
      </c>
      <c r="H226" s="8">
        <v>0</v>
      </c>
      <c r="I226" s="8">
        <v>0</v>
      </c>
      <c r="J226" s="8">
        <v>0</v>
      </c>
      <c r="K226" s="8">
        <v>0</v>
      </c>
      <c r="L226" s="8">
        <v>0</v>
      </c>
      <c r="M226" s="8">
        <v>0</v>
      </c>
      <c r="N226" s="8">
        <v>0</v>
      </c>
      <c r="O226" s="8">
        <v>0</v>
      </c>
      <c r="P226" s="19">
        <f t="shared" si="0"/>
        <v>0</v>
      </c>
    </row>
    <row r="227" spans="1:16" ht="13.2" x14ac:dyDescent="0.25">
      <c r="A227" s="8">
        <v>0</v>
      </c>
      <c r="B227" s="8">
        <v>0</v>
      </c>
      <c r="C227" s="8">
        <v>0</v>
      </c>
      <c r="D227" s="8">
        <v>0</v>
      </c>
      <c r="E227" s="8">
        <v>0</v>
      </c>
      <c r="F227" s="8">
        <v>0</v>
      </c>
      <c r="G227" s="8">
        <v>0</v>
      </c>
      <c r="H227" s="8">
        <v>0</v>
      </c>
      <c r="I227" s="8">
        <v>0</v>
      </c>
      <c r="J227" s="8">
        <v>0</v>
      </c>
      <c r="K227" s="8">
        <v>0</v>
      </c>
      <c r="L227" s="8">
        <v>0</v>
      </c>
      <c r="M227" s="8">
        <v>0</v>
      </c>
      <c r="N227" s="8">
        <v>0</v>
      </c>
      <c r="O227" s="8">
        <v>0</v>
      </c>
      <c r="P227" s="19">
        <f t="shared" si="0"/>
        <v>0</v>
      </c>
    </row>
    <row r="228" spans="1:16" ht="13.2" x14ac:dyDescent="0.25">
      <c r="A228" s="8">
        <v>0</v>
      </c>
      <c r="B228" s="8">
        <v>0</v>
      </c>
      <c r="C228" s="8">
        <v>0</v>
      </c>
      <c r="D228" s="8">
        <v>0</v>
      </c>
      <c r="E228" s="8">
        <v>0</v>
      </c>
      <c r="F228" s="8">
        <v>0</v>
      </c>
      <c r="G228" s="8">
        <v>0</v>
      </c>
      <c r="H228" s="8">
        <v>0</v>
      </c>
      <c r="I228" s="8">
        <v>0</v>
      </c>
      <c r="J228" s="8">
        <v>0</v>
      </c>
      <c r="K228" s="8">
        <v>0</v>
      </c>
      <c r="L228" s="8">
        <v>0</v>
      </c>
      <c r="M228" s="8">
        <v>0</v>
      </c>
      <c r="N228" s="8">
        <v>0</v>
      </c>
      <c r="O228" s="8">
        <v>0</v>
      </c>
      <c r="P228" s="19">
        <f t="shared" si="0"/>
        <v>0</v>
      </c>
    </row>
    <row r="229" spans="1:16" ht="13.2" x14ac:dyDescent="0.25">
      <c r="A229" s="8">
        <v>0</v>
      </c>
      <c r="B229" s="8">
        <v>0</v>
      </c>
      <c r="C229" s="8">
        <v>0</v>
      </c>
      <c r="D229" s="8">
        <v>0</v>
      </c>
      <c r="E229" s="8">
        <v>0</v>
      </c>
      <c r="F229" s="8">
        <v>0</v>
      </c>
      <c r="G229" s="8">
        <v>0</v>
      </c>
      <c r="H229" s="8">
        <v>0</v>
      </c>
      <c r="I229" s="8">
        <v>0</v>
      </c>
      <c r="J229" s="8">
        <v>0</v>
      </c>
      <c r="K229" s="8">
        <v>0</v>
      </c>
      <c r="L229" s="8">
        <v>0</v>
      </c>
      <c r="M229" s="8">
        <v>0</v>
      </c>
      <c r="N229" s="8">
        <v>0</v>
      </c>
      <c r="O229" s="8">
        <v>0</v>
      </c>
      <c r="P229" s="19">
        <f t="shared" si="0"/>
        <v>0</v>
      </c>
    </row>
    <row r="230" spans="1:16" ht="13.2" x14ac:dyDescent="0.25">
      <c r="A230" s="8">
        <v>0</v>
      </c>
      <c r="B230" s="8">
        <v>0</v>
      </c>
      <c r="C230" s="8">
        <v>0</v>
      </c>
      <c r="D230" s="8">
        <v>0</v>
      </c>
      <c r="E230" s="8">
        <v>0</v>
      </c>
      <c r="F230" s="8">
        <v>0</v>
      </c>
      <c r="G230" s="8">
        <v>0</v>
      </c>
      <c r="H230" s="8">
        <v>0</v>
      </c>
      <c r="I230" s="8">
        <v>0</v>
      </c>
      <c r="J230" s="8">
        <v>0</v>
      </c>
      <c r="K230" s="8">
        <v>0</v>
      </c>
      <c r="L230" s="8">
        <v>0</v>
      </c>
      <c r="M230" s="8">
        <v>0</v>
      </c>
      <c r="N230" s="8">
        <v>0</v>
      </c>
      <c r="O230" s="8">
        <v>0</v>
      </c>
      <c r="P230" s="19">
        <f t="shared" si="0"/>
        <v>0</v>
      </c>
    </row>
    <row r="231" spans="1:16" ht="13.2" x14ac:dyDescent="0.25">
      <c r="A231" s="8">
        <v>0</v>
      </c>
      <c r="B231" s="8">
        <v>0</v>
      </c>
      <c r="C231" s="8">
        <v>0</v>
      </c>
      <c r="D231" s="8">
        <v>0</v>
      </c>
      <c r="E231" s="8">
        <v>0</v>
      </c>
      <c r="F231" s="8">
        <v>0</v>
      </c>
      <c r="G231" s="8">
        <v>0</v>
      </c>
      <c r="H231" s="8">
        <v>0</v>
      </c>
      <c r="I231" s="8">
        <v>0</v>
      </c>
      <c r="J231" s="8">
        <v>0</v>
      </c>
      <c r="K231" s="8">
        <v>0</v>
      </c>
      <c r="L231" s="8">
        <v>0</v>
      </c>
      <c r="M231" s="8">
        <v>0</v>
      </c>
      <c r="N231" s="8">
        <v>0</v>
      </c>
      <c r="O231" s="8">
        <v>0</v>
      </c>
      <c r="P231" s="19">
        <f t="shared" si="0"/>
        <v>0</v>
      </c>
    </row>
    <row r="232" spans="1:16" ht="13.2" x14ac:dyDescent="0.25">
      <c r="A232" s="8">
        <v>0</v>
      </c>
      <c r="B232" s="8">
        <v>0</v>
      </c>
      <c r="C232" s="8">
        <v>0</v>
      </c>
      <c r="D232" s="8">
        <v>0</v>
      </c>
      <c r="E232" s="8">
        <v>0</v>
      </c>
      <c r="F232" s="8">
        <v>0</v>
      </c>
      <c r="G232" s="8">
        <v>0</v>
      </c>
      <c r="H232" s="8">
        <v>0</v>
      </c>
      <c r="I232" s="8">
        <v>0</v>
      </c>
      <c r="J232" s="8">
        <v>0</v>
      </c>
      <c r="K232" s="8">
        <v>0</v>
      </c>
      <c r="L232" s="8">
        <v>0</v>
      </c>
      <c r="M232" s="8">
        <v>0</v>
      </c>
      <c r="N232" s="8">
        <v>0</v>
      </c>
      <c r="O232" s="8">
        <v>0</v>
      </c>
      <c r="P232" s="19">
        <f t="shared" si="0"/>
        <v>0</v>
      </c>
    </row>
    <row r="233" spans="1:16" ht="13.2" x14ac:dyDescent="0.25">
      <c r="A233" s="8">
        <v>0</v>
      </c>
      <c r="B233" s="8">
        <v>0</v>
      </c>
      <c r="C233" s="8">
        <v>0</v>
      </c>
      <c r="D233" s="8">
        <v>0</v>
      </c>
      <c r="E233" s="8">
        <v>0</v>
      </c>
      <c r="F233" s="8">
        <v>0</v>
      </c>
      <c r="G233" s="8">
        <v>0</v>
      </c>
      <c r="H233" s="8">
        <v>0</v>
      </c>
      <c r="I233" s="8">
        <v>0</v>
      </c>
      <c r="J233" s="8">
        <v>0</v>
      </c>
      <c r="K233" s="8">
        <v>0</v>
      </c>
      <c r="L233" s="8">
        <v>0</v>
      </c>
      <c r="M233" s="8">
        <v>0</v>
      </c>
      <c r="N233" s="8">
        <v>0</v>
      </c>
      <c r="O233" s="8">
        <v>0</v>
      </c>
      <c r="P233" s="19">
        <f t="shared" si="0"/>
        <v>0</v>
      </c>
    </row>
    <row r="234" spans="1:16" ht="13.2" x14ac:dyDescent="0.25">
      <c r="A234" s="8">
        <v>0</v>
      </c>
      <c r="B234" s="8">
        <v>0</v>
      </c>
      <c r="C234" s="8">
        <v>0</v>
      </c>
      <c r="D234" s="8">
        <v>0</v>
      </c>
      <c r="E234" s="8">
        <v>0</v>
      </c>
      <c r="F234" s="8">
        <v>0</v>
      </c>
      <c r="G234" s="8">
        <v>0</v>
      </c>
      <c r="H234" s="8">
        <v>0</v>
      </c>
      <c r="I234" s="8">
        <v>0</v>
      </c>
      <c r="J234" s="8">
        <v>0</v>
      </c>
      <c r="K234" s="8">
        <v>0</v>
      </c>
      <c r="L234" s="8">
        <v>0</v>
      </c>
      <c r="M234" s="8">
        <v>0</v>
      </c>
      <c r="N234" s="8">
        <v>0</v>
      </c>
      <c r="O234" s="8">
        <v>0</v>
      </c>
      <c r="P234" s="19">
        <f t="shared" si="0"/>
        <v>0</v>
      </c>
    </row>
    <row r="235" spans="1:16" ht="13.2" x14ac:dyDescent="0.25">
      <c r="A235" s="8">
        <v>0</v>
      </c>
      <c r="B235" s="8">
        <v>0</v>
      </c>
      <c r="C235" s="8">
        <v>0</v>
      </c>
      <c r="D235" s="8">
        <v>0</v>
      </c>
      <c r="E235" s="8">
        <v>0</v>
      </c>
      <c r="F235" s="8">
        <v>0</v>
      </c>
      <c r="G235" s="8">
        <v>0</v>
      </c>
      <c r="H235" s="8">
        <v>0</v>
      </c>
      <c r="I235" s="8">
        <v>0</v>
      </c>
      <c r="J235" s="8">
        <v>0</v>
      </c>
      <c r="K235" s="8">
        <v>0</v>
      </c>
      <c r="L235" s="8">
        <v>0</v>
      </c>
      <c r="M235" s="8">
        <v>0</v>
      </c>
      <c r="N235" s="8">
        <v>0</v>
      </c>
      <c r="O235" s="8">
        <v>0</v>
      </c>
      <c r="P235" s="19">
        <f t="shared" si="0"/>
        <v>0</v>
      </c>
    </row>
    <row r="236" spans="1:16" ht="13.2" x14ac:dyDescent="0.25">
      <c r="A236" s="8">
        <v>0</v>
      </c>
      <c r="B236" s="8">
        <v>0</v>
      </c>
      <c r="C236" s="8">
        <v>0</v>
      </c>
      <c r="D236" s="8">
        <v>0</v>
      </c>
      <c r="E236" s="8">
        <v>0</v>
      </c>
      <c r="F236" s="8">
        <v>0</v>
      </c>
      <c r="G236" s="8">
        <v>0</v>
      </c>
      <c r="H236" s="8">
        <v>0</v>
      </c>
      <c r="I236" s="8">
        <v>0</v>
      </c>
      <c r="J236" s="8">
        <v>0</v>
      </c>
      <c r="K236" s="8">
        <v>0</v>
      </c>
      <c r="L236" s="8">
        <v>0</v>
      </c>
      <c r="M236" s="8">
        <v>0</v>
      </c>
      <c r="N236" s="8">
        <v>0</v>
      </c>
      <c r="O236" s="8">
        <v>0</v>
      </c>
      <c r="P236" s="19">
        <f t="shared" si="0"/>
        <v>0</v>
      </c>
    </row>
    <row r="237" spans="1:16" ht="13.2" x14ac:dyDescent="0.25">
      <c r="A237" s="8">
        <v>0</v>
      </c>
      <c r="B237" s="8">
        <v>0</v>
      </c>
      <c r="C237" s="8">
        <v>0</v>
      </c>
      <c r="D237" s="8">
        <v>0</v>
      </c>
      <c r="E237" s="8">
        <v>0</v>
      </c>
      <c r="F237" s="8">
        <v>0</v>
      </c>
      <c r="G237" s="8">
        <v>0</v>
      </c>
      <c r="H237" s="8">
        <v>0</v>
      </c>
      <c r="I237" s="8">
        <v>0</v>
      </c>
      <c r="J237" s="8">
        <v>0</v>
      </c>
      <c r="K237" s="8">
        <v>0</v>
      </c>
      <c r="L237" s="8">
        <v>0</v>
      </c>
      <c r="M237" s="8">
        <v>0</v>
      </c>
      <c r="N237" s="8">
        <v>0</v>
      </c>
      <c r="O237" s="8">
        <v>0</v>
      </c>
      <c r="P237" s="19">
        <f t="shared" si="0"/>
        <v>0</v>
      </c>
    </row>
    <row r="238" spans="1:16" ht="13.2" x14ac:dyDescent="0.25">
      <c r="P238" s="19" t="str">
        <f t="shared" si="0"/>
        <v/>
      </c>
    </row>
    <row r="239" spans="1:16" ht="13.2" x14ac:dyDescent="0.25">
      <c r="P239" s="19" t="str">
        <f t="shared" si="0"/>
        <v/>
      </c>
    </row>
    <row r="240" spans="1:16" ht="13.2" x14ac:dyDescent="0.25">
      <c r="P240" s="19" t="str">
        <f t="shared" si="0"/>
        <v/>
      </c>
    </row>
    <row r="241" spans="16:16" ht="13.2" x14ac:dyDescent="0.25">
      <c r="P241" s="19" t="str">
        <f t="shared" si="0"/>
        <v/>
      </c>
    </row>
    <row r="242" spans="16:16" ht="13.2" x14ac:dyDescent="0.25">
      <c r="P242" s="19" t="str">
        <f t="shared" si="0"/>
        <v/>
      </c>
    </row>
    <row r="243" spans="16:16" ht="13.2" x14ac:dyDescent="0.25">
      <c r="P243" s="19" t="str">
        <f t="shared" si="0"/>
        <v/>
      </c>
    </row>
    <row r="244" spans="16:16" ht="13.2" x14ac:dyDescent="0.25">
      <c r="P244" s="19" t="str">
        <f t="shared" si="0"/>
        <v/>
      </c>
    </row>
    <row r="245" spans="16:16" ht="13.2" x14ac:dyDescent="0.25">
      <c r="P245" s="19" t="str">
        <f t="shared" si="0"/>
        <v/>
      </c>
    </row>
    <row r="246" spans="16:16" ht="13.2" x14ac:dyDescent="0.25">
      <c r="P246" s="19" t="str">
        <f t="shared" si="0"/>
        <v/>
      </c>
    </row>
    <row r="247" spans="16:16" ht="13.2" x14ac:dyDescent="0.25">
      <c r="P247" s="19" t="str">
        <f t="shared" si="0"/>
        <v/>
      </c>
    </row>
    <row r="248" spans="16:16" ht="13.2" x14ac:dyDescent="0.25">
      <c r="P248" s="19" t="str">
        <f t="shared" si="0"/>
        <v/>
      </c>
    </row>
    <row r="249" spans="16:16" ht="13.2" x14ac:dyDescent="0.25">
      <c r="P249" s="19" t="str">
        <f t="shared" si="0"/>
        <v/>
      </c>
    </row>
    <row r="250" spans="16:16" ht="13.2" x14ac:dyDescent="0.25">
      <c r="P250" s="19" t="str">
        <f t="shared" si="0"/>
        <v/>
      </c>
    </row>
    <row r="251" spans="16:16" ht="13.2" x14ac:dyDescent="0.25">
      <c r="P251" s="19" t="str">
        <f t="shared" si="0"/>
        <v/>
      </c>
    </row>
    <row r="252" spans="16:16" ht="13.2" x14ac:dyDescent="0.25">
      <c r="P252" s="19" t="str">
        <f t="shared" si="0"/>
        <v/>
      </c>
    </row>
    <row r="253" spans="16:16" ht="13.2" x14ac:dyDescent="0.25">
      <c r="P253" s="19" t="str">
        <f t="shared" si="0"/>
        <v/>
      </c>
    </row>
    <row r="254" spans="16:16" ht="13.2" x14ac:dyDescent="0.25">
      <c r="P254" s="19" t="str">
        <f t="shared" si="0"/>
        <v/>
      </c>
    </row>
    <row r="255" spans="16:16" ht="13.2" x14ac:dyDescent="0.25">
      <c r="P255" s="19" t="str">
        <f t="shared" si="0"/>
        <v/>
      </c>
    </row>
    <row r="256" spans="16:16" ht="13.2" x14ac:dyDescent="0.25">
      <c r="P256" s="19" t="str">
        <f t="shared" si="0"/>
        <v/>
      </c>
    </row>
    <row r="257" spans="16:16" ht="13.2" x14ac:dyDescent="0.25">
      <c r="P257" s="19" t="str">
        <f t="shared" ref="P257:P511" si="1">IF(A257="", "", INT(A257))</f>
        <v/>
      </c>
    </row>
    <row r="258" spans="16:16" ht="13.2" x14ac:dyDescent="0.25">
      <c r="P258" s="19" t="str">
        <f t="shared" si="1"/>
        <v/>
      </c>
    </row>
    <row r="259" spans="16:16" ht="13.2" x14ac:dyDescent="0.25">
      <c r="P259" s="19" t="str">
        <f t="shared" si="1"/>
        <v/>
      </c>
    </row>
    <row r="260" spans="16:16" ht="13.2" x14ac:dyDescent="0.25">
      <c r="P260" s="19" t="str">
        <f t="shared" si="1"/>
        <v/>
      </c>
    </row>
    <row r="261" spans="16:16" ht="13.2" x14ac:dyDescent="0.25">
      <c r="P261" s="19" t="str">
        <f t="shared" si="1"/>
        <v/>
      </c>
    </row>
    <row r="262" spans="16:16" ht="13.2" x14ac:dyDescent="0.25">
      <c r="P262" s="19" t="str">
        <f t="shared" si="1"/>
        <v/>
      </c>
    </row>
    <row r="263" spans="16:16" ht="13.2" x14ac:dyDescent="0.25">
      <c r="P263" s="19" t="str">
        <f t="shared" si="1"/>
        <v/>
      </c>
    </row>
    <row r="264" spans="16:16" ht="13.2" x14ac:dyDescent="0.25">
      <c r="P264" s="19" t="str">
        <f t="shared" si="1"/>
        <v/>
      </c>
    </row>
    <row r="265" spans="16:16" ht="13.2" x14ac:dyDescent="0.25">
      <c r="P265" s="19" t="str">
        <f t="shared" si="1"/>
        <v/>
      </c>
    </row>
    <row r="266" spans="16:16" ht="13.2" x14ac:dyDescent="0.25">
      <c r="P266" s="19" t="str">
        <f t="shared" si="1"/>
        <v/>
      </c>
    </row>
    <row r="267" spans="16:16" ht="13.2" x14ac:dyDescent="0.25">
      <c r="P267" s="19" t="str">
        <f t="shared" si="1"/>
        <v/>
      </c>
    </row>
    <row r="268" spans="16:16" ht="13.2" x14ac:dyDescent="0.25">
      <c r="P268" s="19" t="str">
        <f t="shared" si="1"/>
        <v/>
      </c>
    </row>
    <row r="269" spans="16:16" ht="13.2" x14ac:dyDescent="0.25">
      <c r="P269" s="19" t="str">
        <f t="shared" si="1"/>
        <v/>
      </c>
    </row>
    <row r="270" spans="16:16" ht="13.2" x14ac:dyDescent="0.25">
      <c r="P270" s="19" t="str">
        <f t="shared" si="1"/>
        <v/>
      </c>
    </row>
    <row r="271" spans="16:16" ht="13.2" x14ac:dyDescent="0.25">
      <c r="P271" s="19" t="str">
        <f t="shared" si="1"/>
        <v/>
      </c>
    </row>
    <row r="272" spans="16:16" ht="13.2" x14ac:dyDescent="0.25">
      <c r="P272" s="19" t="str">
        <f t="shared" si="1"/>
        <v/>
      </c>
    </row>
    <row r="273" spans="16:16" ht="13.2" x14ac:dyDescent="0.25">
      <c r="P273" s="19" t="str">
        <f t="shared" si="1"/>
        <v/>
      </c>
    </row>
    <row r="274" spans="16:16" ht="13.2" x14ac:dyDescent="0.25">
      <c r="P274" s="19" t="str">
        <f t="shared" si="1"/>
        <v/>
      </c>
    </row>
    <row r="275" spans="16:16" ht="13.2" x14ac:dyDescent="0.25">
      <c r="P275" s="19" t="str">
        <f t="shared" si="1"/>
        <v/>
      </c>
    </row>
    <row r="276" spans="16:16" ht="13.2" x14ac:dyDescent="0.25">
      <c r="P276" s="19" t="str">
        <f t="shared" si="1"/>
        <v/>
      </c>
    </row>
    <row r="277" spans="16:16" ht="13.2" x14ac:dyDescent="0.25">
      <c r="P277" s="19" t="str">
        <f t="shared" si="1"/>
        <v/>
      </c>
    </row>
    <row r="278" spans="16:16" ht="13.2" x14ac:dyDescent="0.25">
      <c r="P278" s="19" t="str">
        <f t="shared" si="1"/>
        <v/>
      </c>
    </row>
    <row r="279" spans="16:16" ht="13.2" x14ac:dyDescent="0.25">
      <c r="P279" s="19" t="str">
        <f t="shared" si="1"/>
        <v/>
      </c>
    </row>
    <row r="280" spans="16:16" ht="13.2" x14ac:dyDescent="0.25">
      <c r="P280" s="19" t="str">
        <f t="shared" si="1"/>
        <v/>
      </c>
    </row>
    <row r="281" spans="16:16" ht="13.2" x14ac:dyDescent="0.25">
      <c r="P281" s="19" t="str">
        <f t="shared" si="1"/>
        <v/>
      </c>
    </row>
    <row r="282" spans="16:16" ht="13.2" x14ac:dyDescent="0.25">
      <c r="P282" s="19" t="str">
        <f t="shared" si="1"/>
        <v/>
      </c>
    </row>
    <row r="283" spans="16:16" ht="13.2" x14ac:dyDescent="0.25">
      <c r="P283" s="19" t="str">
        <f t="shared" si="1"/>
        <v/>
      </c>
    </row>
    <row r="284" spans="16:16" ht="13.2" x14ac:dyDescent="0.25">
      <c r="P284" s="19" t="str">
        <f t="shared" si="1"/>
        <v/>
      </c>
    </row>
    <row r="285" spans="16:16" ht="13.2" x14ac:dyDescent="0.25">
      <c r="P285" s="19" t="str">
        <f t="shared" si="1"/>
        <v/>
      </c>
    </row>
    <row r="286" spans="16:16" ht="13.2" x14ac:dyDescent="0.25">
      <c r="P286" s="19" t="str">
        <f t="shared" si="1"/>
        <v/>
      </c>
    </row>
    <row r="287" spans="16:16" ht="13.2" x14ac:dyDescent="0.25">
      <c r="P287" s="19" t="str">
        <f t="shared" si="1"/>
        <v/>
      </c>
    </row>
    <row r="288" spans="16:16" ht="13.2" x14ac:dyDescent="0.25">
      <c r="P288" s="19" t="str">
        <f t="shared" si="1"/>
        <v/>
      </c>
    </row>
    <row r="289" spans="16:16" ht="13.2" x14ac:dyDescent="0.25">
      <c r="P289" s="19" t="str">
        <f t="shared" si="1"/>
        <v/>
      </c>
    </row>
    <row r="290" spans="16:16" ht="13.2" x14ac:dyDescent="0.25">
      <c r="P290" s="19" t="str">
        <f t="shared" si="1"/>
        <v/>
      </c>
    </row>
    <row r="291" spans="16:16" ht="13.2" x14ac:dyDescent="0.25">
      <c r="P291" s="19" t="str">
        <f t="shared" si="1"/>
        <v/>
      </c>
    </row>
    <row r="292" spans="16:16" ht="13.2" x14ac:dyDescent="0.25">
      <c r="P292" s="19" t="str">
        <f t="shared" si="1"/>
        <v/>
      </c>
    </row>
    <row r="293" spans="16:16" ht="13.2" x14ac:dyDescent="0.25">
      <c r="P293" s="19" t="str">
        <f t="shared" si="1"/>
        <v/>
      </c>
    </row>
    <row r="294" spans="16:16" ht="13.2" x14ac:dyDescent="0.25">
      <c r="P294" s="19" t="str">
        <f t="shared" si="1"/>
        <v/>
      </c>
    </row>
    <row r="295" spans="16:16" ht="13.2" x14ac:dyDescent="0.25">
      <c r="P295" s="19" t="str">
        <f t="shared" si="1"/>
        <v/>
      </c>
    </row>
    <row r="296" spans="16:16" ht="13.2" x14ac:dyDescent="0.25">
      <c r="P296" s="19" t="str">
        <f t="shared" si="1"/>
        <v/>
      </c>
    </row>
    <row r="297" spans="16:16" ht="13.2" x14ac:dyDescent="0.25">
      <c r="P297" s="19" t="str">
        <f t="shared" si="1"/>
        <v/>
      </c>
    </row>
    <row r="298" spans="16:16" ht="13.2" x14ac:dyDescent="0.25">
      <c r="P298" s="19" t="str">
        <f t="shared" si="1"/>
        <v/>
      </c>
    </row>
    <row r="299" spans="16:16" ht="13.2" x14ac:dyDescent="0.25">
      <c r="P299" s="19" t="str">
        <f t="shared" si="1"/>
        <v/>
      </c>
    </row>
    <row r="300" spans="16:16" ht="13.2" x14ac:dyDescent="0.25">
      <c r="P300" s="19" t="str">
        <f t="shared" si="1"/>
        <v/>
      </c>
    </row>
    <row r="301" spans="16:16" ht="13.2" x14ac:dyDescent="0.25">
      <c r="P301" s="19" t="str">
        <f t="shared" si="1"/>
        <v/>
      </c>
    </row>
    <row r="302" spans="16:16" ht="13.2" x14ac:dyDescent="0.25">
      <c r="P302" s="19" t="str">
        <f t="shared" si="1"/>
        <v/>
      </c>
    </row>
    <row r="303" spans="16:16" ht="13.2" x14ac:dyDescent="0.25">
      <c r="P303" s="19" t="str">
        <f t="shared" si="1"/>
        <v/>
      </c>
    </row>
    <row r="304" spans="16:16" ht="13.2" x14ac:dyDescent="0.25">
      <c r="P304" s="19" t="str">
        <f t="shared" si="1"/>
        <v/>
      </c>
    </row>
    <row r="305" spans="16:16" ht="13.2" x14ac:dyDescent="0.25">
      <c r="P305" s="19" t="str">
        <f t="shared" si="1"/>
        <v/>
      </c>
    </row>
    <row r="306" spans="16:16" ht="13.2" x14ac:dyDescent="0.25">
      <c r="P306" s="19" t="str">
        <f t="shared" si="1"/>
        <v/>
      </c>
    </row>
    <row r="307" spans="16:16" ht="13.2" x14ac:dyDescent="0.25">
      <c r="P307" s="19" t="str">
        <f t="shared" si="1"/>
        <v/>
      </c>
    </row>
    <row r="308" spans="16:16" ht="13.2" x14ac:dyDescent="0.25">
      <c r="P308" s="19" t="str">
        <f t="shared" si="1"/>
        <v/>
      </c>
    </row>
    <row r="309" spans="16:16" ht="13.2" x14ac:dyDescent="0.25">
      <c r="P309" s="19" t="str">
        <f t="shared" si="1"/>
        <v/>
      </c>
    </row>
    <row r="310" spans="16:16" ht="13.2" x14ac:dyDescent="0.25">
      <c r="P310" s="19" t="str">
        <f t="shared" si="1"/>
        <v/>
      </c>
    </row>
    <row r="311" spans="16:16" ht="13.2" x14ac:dyDescent="0.25">
      <c r="P311" s="19" t="str">
        <f t="shared" si="1"/>
        <v/>
      </c>
    </row>
    <row r="312" spans="16:16" ht="13.2" x14ac:dyDescent="0.25">
      <c r="P312" s="19" t="str">
        <f t="shared" si="1"/>
        <v/>
      </c>
    </row>
    <row r="313" spans="16:16" ht="13.2" x14ac:dyDescent="0.25">
      <c r="P313" s="19" t="str">
        <f t="shared" si="1"/>
        <v/>
      </c>
    </row>
    <row r="314" spans="16:16" ht="13.2" x14ac:dyDescent="0.25">
      <c r="P314" s="19" t="str">
        <f t="shared" si="1"/>
        <v/>
      </c>
    </row>
    <row r="315" spans="16:16" ht="13.2" x14ac:dyDescent="0.25">
      <c r="P315" s="19" t="str">
        <f t="shared" si="1"/>
        <v/>
      </c>
    </row>
    <row r="316" spans="16:16" ht="13.2" x14ac:dyDescent="0.25">
      <c r="P316" s="19" t="str">
        <f t="shared" si="1"/>
        <v/>
      </c>
    </row>
    <row r="317" spans="16:16" ht="13.2" x14ac:dyDescent="0.25">
      <c r="P317" s="19" t="str">
        <f t="shared" si="1"/>
        <v/>
      </c>
    </row>
    <row r="318" spans="16:16" ht="13.2" x14ac:dyDescent="0.25">
      <c r="P318" s="19" t="str">
        <f t="shared" si="1"/>
        <v/>
      </c>
    </row>
    <row r="319" spans="16:16" ht="13.2" x14ac:dyDescent="0.25">
      <c r="P319" s="19" t="str">
        <f t="shared" si="1"/>
        <v/>
      </c>
    </row>
    <row r="320" spans="16:16" ht="13.2" x14ac:dyDescent="0.25">
      <c r="P320" s="19" t="str">
        <f t="shared" si="1"/>
        <v/>
      </c>
    </row>
    <row r="321" spans="16:16" ht="13.2" x14ac:dyDescent="0.25">
      <c r="P321" s="19" t="str">
        <f t="shared" si="1"/>
        <v/>
      </c>
    </row>
    <row r="322" spans="16:16" ht="13.2" x14ac:dyDescent="0.25">
      <c r="P322" s="19" t="str">
        <f t="shared" si="1"/>
        <v/>
      </c>
    </row>
    <row r="323" spans="16:16" ht="13.2" x14ac:dyDescent="0.25">
      <c r="P323" s="19" t="str">
        <f t="shared" si="1"/>
        <v/>
      </c>
    </row>
    <row r="324" spans="16:16" ht="13.2" x14ac:dyDescent="0.25">
      <c r="P324" s="19" t="str">
        <f t="shared" si="1"/>
        <v/>
      </c>
    </row>
    <row r="325" spans="16:16" ht="13.2" x14ac:dyDescent="0.25">
      <c r="P325" s="19" t="str">
        <f t="shared" si="1"/>
        <v/>
      </c>
    </row>
    <row r="326" spans="16:16" ht="13.2" x14ac:dyDescent="0.25">
      <c r="P326" s="19" t="str">
        <f t="shared" si="1"/>
        <v/>
      </c>
    </row>
    <row r="327" spans="16:16" ht="13.2" x14ac:dyDescent="0.25">
      <c r="P327" s="19" t="str">
        <f t="shared" si="1"/>
        <v/>
      </c>
    </row>
    <row r="328" spans="16:16" ht="13.2" x14ac:dyDescent="0.25">
      <c r="P328" s="19" t="str">
        <f t="shared" si="1"/>
        <v/>
      </c>
    </row>
    <row r="329" spans="16:16" ht="13.2" x14ac:dyDescent="0.25">
      <c r="P329" s="19" t="str">
        <f t="shared" si="1"/>
        <v/>
      </c>
    </row>
    <row r="330" spans="16:16" ht="13.2" x14ac:dyDescent="0.25">
      <c r="P330" s="19" t="str">
        <f t="shared" si="1"/>
        <v/>
      </c>
    </row>
    <row r="331" spans="16:16" ht="13.2" x14ac:dyDescent="0.25">
      <c r="P331" s="19" t="str">
        <f t="shared" si="1"/>
        <v/>
      </c>
    </row>
    <row r="332" spans="16:16" ht="13.2" x14ac:dyDescent="0.25">
      <c r="P332" s="19" t="str">
        <f t="shared" si="1"/>
        <v/>
      </c>
    </row>
    <row r="333" spans="16:16" ht="13.2" x14ac:dyDescent="0.25">
      <c r="P333" s="19" t="str">
        <f t="shared" si="1"/>
        <v/>
      </c>
    </row>
    <row r="334" spans="16:16" ht="13.2" x14ac:dyDescent="0.25">
      <c r="P334" s="19" t="str">
        <f t="shared" si="1"/>
        <v/>
      </c>
    </row>
    <row r="335" spans="16:16" ht="13.2" x14ac:dyDescent="0.25">
      <c r="P335" s="19" t="str">
        <f t="shared" si="1"/>
        <v/>
      </c>
    </row>
    <row r="336" spans="16:16" ht="13.2" x14ac:dyDescent="0.25">
      <c r="P336" s="19" t="str">
        <f t="shared" si="1"/>
        <v/>
      </c>
    </row>
    <row r="337" spans="16:16" ht="13.2" x14ac:dyDescent="0.25">
      <c r="P337" s="19" t="str">
        <f t="shared" si="1"/>
        <v/>
      </c>
    </row>
    <row r="338" spans="16:16" ht="13.2" x14ac:dyDescent="0.25">
      <c r="P338" s="19" t="str">
        <f t="shared" si="1"/>
        <v/>
      </c>
    </row>
    <row r="339" spans="16:16" ht="13.2" x14ac:dyDescent="0.25">
      <c r="P339" s="19" t="str">
        <f t="shared" si="1"/>
        <v/>
      </c>
    </row>
    <row r="340" spans="16:16" ht="13.2" x14ac:dyDescent="0.25">
      <c r="P340" s="19" t="str">
        <f t="shared" si="1"/>
        <v/>
      </c>
    </row>
    <row r="341" spans="16:16" ht="13.2" x14ac:dyDescent="0.25">
      <c r="P341" s="19" t="str">
        <f t="shared" si="1"/>
        <v/>
      </c>
    </row>
    <row r="342" spans="16:16" ht="13.2" x14ac:dyDescent="0.25">
      <c r="P342" s="19" t="str">
        <f t="shared" si="1"/>
        <v/>
      </c>
    </row>
    <row r="343" spans="16:16" ht="13.2" x14ac:dyDescent="0.25">
      <c r="P343" s="19" t="str">
        <f t="shared" si="1"/>
        <v/>
      </c>
    </row>
    <row r="344" spans="16:16" ht="13.2" x14ac:dyDescent="0.25">
      <c r="P344" s="19" t="str">
        <f t="shared" si="1"/>
        <v/>
      </c>
    </row>
    <row r="345" spans="16:16" ht="13.2" x14ac:dyDescent="0.25">
      <c r="P345" s="19" t="str">
        <f t="shared" si="1"/>
        <v/>
      </c>
    </row>
    <row r="346" spans="16:16" ht="13.2" x14ac:dyDescent="0.25">
      <c r="P346" s="19" t="str">
        <f t="shared" si="1"/>
        <v/>
      </c>
    </row>
    <row r="347" spans="16:16" ht="13.2" x14ac:dyDescent="0.25">
      <c r="P347" s="19" t="str">
        <f t="shared" si="1"/>
        <v/>
      </c>
    </row>
    <row r="348" spans="16:16" ht="13.2" x14ac:dyDescent="0.25">
      <c r="P348" s="19" t="str">
        <f t="shared" si="1"/>
        <v/>
      </c>
    </row>
    <row r="349" spans="16:16" ht="13.2" x14ac:dyDescent="0.25">
      <c r="P349" s="19" t="str">
        <f t="shared" si="1"/>
        <v/>
      </c>
    </row>
    <row r="350" spans="16:16" ht="13.2" x14ac:dyDescent="0.25">
      <c r="P350" s="19" t="str">
        <f t="shared" si="1"/>
        <v/>
      </c>
    </row>
    <row r="351" spans="16:16" ht="13.2" x14ac:dyDescent="0.25">
      <c r="P351" s="19" t="str">
        <f t="shared" si="1"/>
        <v/>
      </c>
    </row>
    <row r="352" spans="16:16" ht="13.2" x14ac:dyDescent="0.25">
      <c r="P352" s="19" t="str">
        <f t="shared" si="1"/>
        <v/>
      </c>
    </row>
    <row r="353" spans="16:16" ht="13.2" x14ac:dyDescent="0.25">
      <c r="P353" s="19" t="str">
        <f t="shared" si="1"/>
        <v/>
      </c>
    </row>
    <row r="354" spans="16:16" ht="13.2" x14ac:dyDescent="0.25">
      <c r="P354" s="19" t="str">
        <f t="shared" si="1"/>
        <v/>
      </c>
    </row>
    <row r="355" spans="16:16" ht="13.2" x14ac:dyDescent="0.25">
      <c r="P355" s="19" t="str">
        <f t="shared" si="1"/>
        <v/>
      </c>
    </row>
    <row r="356" spans="16:16" ht="13.2" x14ac:dyDescent="0.25">
      <c r="P356" s="19" t="str">
        <f t="shared" si="1"/>
        <v/>
      </c>
    </row>
    <row r="357" spans="16:16" ht="13.2" x14ac:dyDescent="0.25">
      <c r="P357" s="19" t="str">
        <f t="shared" si="1"/>
        <v/>
      </c>
    </row>
    <row r="358" spans="16:16" ht="13.2" x14ac:dyDescent="0.25">
      <c r="P358" s="19" t="str">
        <f t="shared" si="1"/>
        <v/>
      </c>
    </row>
    <row r="359" spans="16:16" ht="13.2" x14ac:dyDescent="0.25">
      <c r="P359" s="19" t="str">
        <f t="shared" si="1"/>
        <v/>
      </c>
    </row>
    <row r="360" spans="16:16" ht="13.2" x14ac:dyDescent="0.25">
      <c r="P360" s="19" t="str">
        <f t="shared" si="1"/>
        <v/>
      </c>
    </row>
    <row r="361" spans="16:16" ht="13.2" x14ac:dyDescent="0.25">
      <c r="P361" s="19" t="str">
        <f t="shared" si="1"/>
        <v/>
      </c>
    </row>
    <row r="362" spans="16:16" ht="13.2" x14ac:dyDescent="0.25">
      <c r="P362" s="19" t="str">
        <f t="shared" si="1"/>
        <v/>
      </c>
    </row>
    <row r="363" spans="16:16" ht="13.2" x14ac:dyDescent="0.25">
      <c r="P363" s="19" t="str">
        <f t="shared" si="1"/>
        <v/>
      </c>
    </row>
    <row r="364" spans="16:16" ht="13.2" x14ac:dyDescent="0.25">
      <c r="P364" s="19" t="str">
        <f t="shared" si="1"/>
        <v/>
      </c>
    </row>
    <row r="365" spans="16:16" ht="13.2" x14ac:dyDescent="0.25">
      <c r="P365" s="19" t="str">
        <f t="shared" si="1"/>
        <v/>
      </c>
    </row>
    <row r="366" spans="16:16" ht="13.2" x14ac:dyDescent="0.25">
      <c r="P366" s="19" t="str">
        <f t="shared" si="1"/>
        <v/>
      </c>
    </row>
    <row r="367" spans="16:16" ht="13.2" x14ac:dyDescent="0.25">
      <c r="P367" s="19" t="str">
        <f t="shared" si="1"/>
        <v/>
      </c>
    </row>
    <row r="368" spans="16:16" ht="13.2" x14ac:dyDescent="0.25">
      <c r="P368" s="19" t="str">
        <f t="shared" si="1"/>
        <v/>
      </c>
    </row>
    <row r="369" spans="16:16" ht="13.2" x14ac:dyDescent="0.25">
      <c r="P369" s="19" t="str">
        <f t="shared" si="1"/>
        <v/>
      </c>
    </row>
    <row r="370" spans="16:16" ht="13.2" x14ac:dyDescent="0.25">
      <c r="P370" s="19" t="str">
        <f t="shared" si="1"/>
        <v/>
      </c>
    </row>
    <row r="371" spans="16:16" ht="13.2" x14ac:dyDescent="0.25">
      <c r="P371" s="19" t="str">
        <f t="shared" si="1"/>
        <v/>
      </c>
    </row>
    <row r="372" spans="16:16" ht="13.2" x14ac:dyDescent="0.25">
      <c r="P372" s="19" t="str">
        <f t="shared" si="1"/>
        <v/>
      </c>
    </row>
    <row r="373" spans="16:16" ht="13.2" x14ac:dyDescent="0.25">
      <c r="P373" s="19" t="str">
        <f t="shared" si="1"/>
        <v/>
      </c>
    </row>
    <row r="374" spans="16:16" ht="13.2" x14ac:dyDescent="0.25">
      <c r="P374" s="19" t="str">
        <f t="shared" si="1"/>
        <v/>
      </c>
    </row>
    <row r="375" spans="16:16" ht="13.2" x14ac:dyDescent="0.25">
      <c r="P375" s="19" t="str">
        <f t="shared" si="1"/>
        <v/>
      </c>
    </row>
    <row r="376" spans="16:16" ht="13.2" x14ac:dyDescent="0.25">
      <c r="P376" s="19" t="str">
        <f t="shared" si="1"/>
        <v/>
      </c>
    </row>
    <row r="377" spans="16:16" ht="13.2" x14ac:dyDescent="0.25">
      <c r="P377" s="19" t="str">
        <f t="shared" si="1"/>
        <v/>
      </c>
    </row>
    <row r="378" spans="16:16" ht="13.2" x14ac:dyDescent="0.25">
      <c r="P378" s="19" t="str">
        <f t="shared" si="1"/>
        <v/>
      </c>
    </row>
    <row r="379" spans="16:16" ht="13.2" x14ac:dyDescent="0.25">
      <c r="P379" s="19" t="str">
        <f t="shared" si="1"/>
        <v/>
      </c>
    </row>
    <row r="380" spans="16:16" ht="13.2" x14ac:dyDescent="0.25">
      <c r="P380" s="19" t="str">
        <f t="shared" si="1"/>
        <v/>
      </c>
    </row>
    <row r="381" spans="16:16" ht="13.2" x14ac:dyDescent="0.25">
      <c r="P381" s="19" t="str">
        <f t="shared" si="1"/>
        <v/>
      </c>
    </row>
    <row r="382" spans="16:16" ht="13.2" x14ac:dyDescent="0.25">
      <c r="P382" s="19" t="str">
        <f t="shared" si="1"/>
        <v/>
      </c>
    </row>
    <row r="383" spans="16:16" ht="13.2" x14ac:dyDescent="0.25">
      <c r="P383" s="19" t="str">
        <f t="shared" si="1"/>
        <v/>
      </c>
    </row>
    <row r="384" spans="16:16" ht="13.2" x14ac:dyDescent="0.25">
      <c r="P384" s="19" t="str">
        <f t="shared" si="1"/>
        <v/>
      </c>
    </row>
    <row r="385" spans="16:16" ht="13.2" x14ac:dyDescent="0.25">
      <c r="P385" s="19" t="str">
        <f t="shared" si="1"/>
        <v/>
      </c>
    </row>
    <row r="386" spans="16:16" ht="13.2" x14ac:dyDescent="0.25">
      <c r="P386" s="19" t="str">
        <f t="shared" si="1"/>
        <v/>
      </c>
    </row>
    <row r="387" spans="16:16" ht="13.2" x14ac:dyDescent="0.25">
      <c r="P387" s="19" t="str">
        <f t="shared" si="1"/>
        <v/>
      </c>
    </row>
    <row r="388" spans="16:16" ht="13.2" x14ac:dyDescent="0.25">
      <c r="P388" s="19" t="str">
        <f t="shared" si="1"/>
        <v/>
      </c>
    </row>
    <row r="389" spans="16:16" ht="13.2" x14ac:dyDescent="0.25">
      <c r="P389" s="19" t="str">
        <f t="shared" si="1"/>
        <v/>
      </c>
    </row>
    <row r="390" spans="16:16" ht="13.2" x14ac:dyDescent="0.25">
      <c r="P390" s="19" t="str">
        <f t="shared" si="1"/>
        <v/>
      </c>
    </row>
    <row r="391" spans="16:16" ht="13.2" x14ac:dyDescent="0.25">
      <c r="P391" s="19" t="str">
        <f t="shared" si="1"/>
        <v/>
      </c>
    </row>
    <row r="392" spans="16:16" ht="13.2" x14ac:dyDescent="0.25">
      <c r="P392" s="19" t="str">
        <f t="shared" si="1"/>
        <v/>
      </c>
    </row>
    <row r="393" spans="16:16" ht="13.2" x14ac:dyDescent="0.25">
      <c r="P393" s="19" t="str">
        <f t="shared" si="1"/>
        <v/>
      </c>
    </row>
    <row r="394" spans="16:16" ht="13.2" x14ac:dyDescent="0.25">
      <c r="P394" s="19" t="str">
        <f t="shared" si="1"/>
        <v/>
      </c>
    </row>
    <row r="395" spans="16:16" ht="13.2" x14ac:dyDescent="0.25">
      <c r="P395" s="19" t="str">
        <f t="shared" si="1"/>
        <v/>
      </c>
    </row>
    <row r="396" spans="16:16" ht="13.2" x14ac:dyDescent="0.25">
      <c r="P396" s="19" t="str">
        <f t="shared" si="1"/>
        <v/>
      </c>
    </row>
    <row r="397" spans="16:16" ht="13.2" x14ac:dyDescent="0.25">
      <c r="P397" s="19" t="str">
        <f t="shared" si="1"/>
        <v/>
      </c>
    </row>
    <row r="398" spans="16:16" ht="13.2" x14ac:dyDescent="0.25">
      <c r="P398" s="19" t="str">
        <f t="shared" si="1"/>
        <v/>
      </c>
    </row>
    <row r="399" spans="16:16" ht="13.2" x14ac:dyDescent="0.25">
      <c r="P399" s="19" t="str">
        <f t="shared" si="1"/>
        <v/>
      </c>
    </row>
    <row r="400" spans="16:16" ht="13.2" x14ac:dyDescent="0.25">
      <c r="P400" s="19" t="str">
        <f t="shared" si="1"/>
        <v/>
      </c>
    </row>
    <row r="401" spans="16:16" ht="13.2" x14ac:dyDescent="0.25">
      <c r="P401" s="19" t="str">
        <f t="shared" si="1"/>
        <v/>
      </c>
    </row>
    <row r="402" spans="16:16" ht="13.2" x14ac:dyDescent="0.25">
      <c r="P402" s="19" t="str">
        <f t="shared" si="1"/>
        <v/>
      </c>
    </row>
    <row r="403" spans="16:16" ht="13.2" x14ac:dyDescent="0.25">
      <c r="P403" s="19" t="str">
        <f t="shared" si="1"/>
        <v/>
      </c>
    </row>
    <row r="404" spans="16:16" ht="13.2" x14ac:dyDescent="0.25">
      <c r="P404" s="19" t="str">
        <f t="shared" si="1"/>
        <v/>
      </c>
    </row>
    <row r="405" spans="16:16" ht="13.2" x14ac:dyDescent="0.25">
      <c r="P405" s="19" t="str">
        <f t="shared" si="1"/>
        <v/>
      </c>
    </row>
    <row r="406" spans="16:16" ht="13.2" x14ac:dyDescent="0.25">
      <c r="P406" s="19" t="str">
        <f t="shared" si="1"/>
        <v/>
      </c>
    </row>
    <row r="407" spans="16:16" ht="13.2" x14ac:dyDescent="0.25">
      <c r="P407" s="19" t="str">
        <f t="shared" si="1"/>
        <v/>
      </c>
    </row>
    <row r="408" spans="16:16" ht="13.2" x14ac:dyDescent="0.25">
      <c r="P408" s="19" t="str">
        <f t="shared" si="1"/>
        <v/>
      </c>
    </row>
    <row r="409" spans="16:16" ht="13.2" x14ac:dyDescent="0.25">
      <c r="P409" s="19" t="str">
        <f t="shared" si="1"/>
        <v/>
      </c>
    </row>
    <row r="410" spans="16:16" ht="13.2" x14ac:dyDescent="0.25">
      <c r="P410" s="19" t="str">
        <f t="shared" si="1"/>
        <v/>
      </c>
    </row>
    <row r="411" spans="16:16" ht="13.2" x14ac:dyDescent="0.25">
      <c r="P411" s="19" t="str">
        <f t="shared" si="1"/>
        <v/>
      </c>
    </row>
    <row r="412" spans="16:16" ht="13.2" x14ac:dyDescent="0.25">
      <c r="P412" s="19" t="str">
        <f t="shared" si="1"/>
        <v/>
      </c>
    </row>
    <row r="413" spans="16:16" ht="13.2" x14ac:dyDescent="0.25">
      <c r="P413" s="19" t="str">
        <f t="shared" si="1"/>
        <v/>
      </c>
    </row>
    <row r="414" spans="16:16" ht="13.2" x14ac:dyDescent="0.25">
      <c r="P414" s="19" t="str">
        <f t="shared" si="1"/>
        <v/>
      </c>
    </row>
    <row r="415" spans="16:16" ht="13.2" x14ac:dyDescent="0.25">
      <c r="P415" s="19" t="str">
        <f t="shared" si="1"/>
        <v/>
      </c>
    </row>
    <row r="416" spans="16:16" ht="13.2" x14ac:dyDescent="0.25">
      <c r="P416" s="19" t="str">
        <f t="shared" si="1"/>
        <v/>
      </c>
    </row>
    <row r="417" spans="16:16" ht="13.2" x14ac:dyDescent="0.25">
      <c r="P417" s="19" t="str">
        <f t="shared" si="1"/>
        <v/>
      </c>
    </row>
    <row r="418" spans="16:16" ht="13.2" x14ac:dyDescent="0.25">
      <c r="P418" s="19" t="str">
        <f t="shared" si="1"/>
        <v/>
      </c>
    </row>
    <row r="419" spans="16:16" ht="13.2" x14ac:dyDescent="0.25">
      <c r="P419" s="19" t="str">
        <f t="shared" si="1"/>
        <v/>
      </c>
    </row>
    <row r="420" spans="16:16" ht="13.2" x14ac:dyDescent="0.25">
      <c r="P420" s="19" t="str">
        <f t="shared" si="1"/>
        <v/>
      </c>
    </row>
    <row r="421" spans="16:16" ht="13.2" x14ac:dyDescent="0.25">
      <c r="P421" s="19" t="str">
        <f t="shared" si="1"/>
        <v/>
      </c>
    </row>
    <row r="422" spans="16:16" ht="13.2" x14ac:dyDescent="0.25">
      <c r="P422" s="19" t="str">
        <f t="shared" si="1"/>
        <v/>
      </c>
    </row>
    <row r="423" spans="16:16" ht="13.2" x14ac:dyDescent="0.25">
      <c r="P423" s="19" t="str">
        <f t="shared" si="1"/>
        <v/>
      </c>
    </row>
    <row r="424" spans="16:16" ht="13.2" x14ac:dyDescent="0.25">
      <c r="P424" s="19" t="str">
        <f t="shared" si="1"/>
        <v/>
      </c>
    </row>
    <row r="425" spans="16:16" ht="13.2" x14ac:dyDescent="0.25">
      <c r="P425" s="19" t="str">
        <f t="shared" si="1"/>
        <v/>
      </c>
    </row>
    <row r="426" spans="16:16" ht="13.2" x14ac:dyDescent="0.25">
      <c r="P426" s="19" t="str">
        <f t="shared" si="1"/>
        <v/>
      </c>
    </row>
    <row r="427" spans="16:16" ht="13.2" x14ac:dyDescent="0.25">
      <c r="P427" s="19" t="str">
        <f t="shared" si="1"/>
        <v/>
      </c>
    </row>
    <row r="428" spans="16:16" ht="13.2" x14ac:dyDescent="0.25">
      <c r="P428" s="19" t="str">
        <f t="shared" si="1"/>
        <v/>
      </c>
    </row>
    <row r="429" spans="16:16" ht="13.2" x14ac:dyDescent="0.25">
      <c r="P429" s="19" t="str">
        <f t="shared" si="1"/>
        <v/>
      </c>
    </row>
    <row r="430" spans="16:16" ht="13.2" x14ac:dyDescent="0.25">
      <c r="P430" s="19" t="str">
        <f t="shared" si="1"/>
        <v/>
      </c>
    </row>
    <row r="431" spans="16:16" ht="13.2" x14ac:dyDescent="0.25">
      <c r="P431" s="19" t="str">
        <f t="shared" si="1"/>
        <v/>
      </c>
    </row>
    <row r="432" spans="16:16" ht="13.2" x14ac:dyDescent="0.25">
      <c r="P432" s="19" t="str">
        <f t="shared" si="1"/>
        <v/>
      </c>
    </row>
    <row r="433" spans="16:16" ht="13.2" x14ac:dyDescent="0.25">
      <c r="P433" s="19" t="str">
        <f t="shared" si="1"/>
        <v/>
      </c>
    </row>
    <row r="434" spans="16:16" ht="13.2" x14ac:dyDescent="0.25">
      <c r="P434" s="19" t="str">
        <f t="shared" si="1"/>
        <v/>
      </c>
    </row>
    <row r="435" spans="16:16" ht="13.2" x14ac:dyDescent="0.25">
      <c r="P435" s="19" t="str">
        <f t="shared" si="1"/>
        <v/>
      </c>
    </row>
    <row r="436" spans="16:16" ht="13.2" x14ac:dyDescent="0.25">
      <c r="P436" s="19" t="str">
        <f t="shared" si="1"/>
        <v/>
      </c>
    </row>
    <row r="437" spans="16:16" ht="13.2" x14ac:dyDescent="0.25">
      <c r="P437" s="19" t="str">
        <f t="shared" si="1"/>
        <v/>
      </c>
    </row>
    <row r="438" spans="16:16" ht="13.2" x14ac:dyDescent="0.25">
      <c r="P438" s="19" t="str">
        <f t="shared" si="1"/>
        <v/>
      </c>
    </row>
    <row r="439" spans="16:16" ht="13.2" x14ac:dyDescent="0.25">
      <c r="P439" s="19" t="str">
        <f t="shared" si="1"/>
        <v/>
      </c>
    </row>
    <row r="440" spans="16:16" ht="13.2" x14ac:dyDescent="0.25">
      <c r="P440" s="19" t="str">
        <f t="shared" si="1"/>
        <v/>
      </c>
    </row>
    <row r="441" spans="16:16" ht="13.2" x14ac:dyDescent="0.25">
      <c r="P441" s="19" t="str">
        <f t="shared" si="1"/>
        <v/>
      </c>
    </row>
    <row r="442" spans="16:16" ht="13.2" x14ac:dyDescent="0.25">
      <c r="P442" s="19" t="str">
        <f t="shared" si="1"/>
        <v/>
      </c>
    </row>
    <row r="443" spans="16:16" ht="13.2" x14ac:dyDescent="0.25">
      <c r="P443" s="19" t="str">
        <f t="shared" si="1"/>
        <v/>
      </c>
    </row>
    <row r="444" spans="16:16" ht="13.2" x14ac:dyDescent="0.25">
      <c r="P444" s="19" t="str">
        <f t="shared" si="1"/>
        <v/>
      </c>
    </row>
    <row r="445" spans="16:16" ht="13.2" x14ac:dyDescent="0.25">
      <c r="P445" s="19" t="str">
        <f t="shared" si="1"/>
        <v/>
      </c>
    </row>
    <row r="446" spans="16:16" ht="13.2" x14ac:dyDescent="0.25">
      <c r="P446" s="19" t="str">
        <f t="shared" si="1"/>
        <v/>
      </c>
    </row>
    <row r="447" spans="16:16" ht="13.2" x14ac:dyDescent="0.25">
      <c r="P447" s="19" t="str">
        <f t="shared" si="1"/>
        <v/>
      </c>
    </row>
    <row r="448" spans="16:16" ht="13.2" x14ac:dyDescent="0.25">
      <c r="P448" s="19" t="str">
        <f t="shared" si="1"/>
        <v/>
      </c>
    </row>
    <row r="449" spans="16:16" ht="13.2" x14ac:dyDescent="0.25">
      <c r="P449" s="19" t="str">
        <f t="shared" si="1"/>
        <v/>
      </c>
    </row>
    <row r="450" spans="16:16" ht="13.2" x14ac:dyDescent="0.25">
      <c r="P450" s="19" t="str">
        <f t="shared" si="1"/>
        <v/>
      </c>
    </row>
    <row r="451" spans="16:16" ht="13.2" x14ac:dyDescent="0.25">
      <c r="P451" s="19" t="str">
        <f t="shared" si="1"/>
        <v/>
      </c>
    </row>
    <row r="452" spans="16:16" ht="13.2" x14ac:dyDescent="0.25">
      <c r="P452" s="19" t="str">
        <f t="shared" si="1"/>
        <v/>
      </c>
    </row>
    <row r="453" spans="16:16" ht="13.2" x14ac:dyDescent="0.25">
      <c r="P453" s="19" t="str">
        <f t="shared" si="1"/>
        <v/>
      </c>
    </row>
    <row r="454" spans="16:16" ht="13.2" x14ac:dyDescent="0.25">
      <c r="P454" s="19" t="str">
        <f t="shared" si="1"/>
        <v/>
      </c>
    </row>
    <row r="455" spans="16:16" ht="13.2" x14ac:dyDescent="0.25">
      <c r="P455" s="19" t="str">
        <f t="shared" si="1"/>
        <v/>
      </c>
    </row>
    <row r="456" spans="16:16" ht="13.2" x14ac:dyDescent="0.25">
      <c r="P456" s="19" t="str">
        <f t="shared" si="1"/>
        <v/>
      </c>
    </row>
    <row r="457" spans="16:16" ht="13.2" x14ac:dyDescent="0.25">
      <c r="P457" s="19" t="str">
        <f t="shared" si="1"/>
        <v/>
      </c>
    </row>
    <row r="458" spans="16:16" ht="13.2" x14ac:dyDescent="0.25">
      <c r="P458" s="19" t="str">
        <f t="shared" si="1"/>
        <v/>
      </c>
    </row>
    <row r="459" spans="16:16" ht="13.2" x14ac:dyDescent="0.25">
      <c r="P459" s="19" t="str">
        <f t="shared" si="1"/>
        <v/>
      </c>
    </row>
    <row r="460" spans="16:16" ht="13.2" x14ac:dyDescent="0.25">
      <c r="P460" s="19" t="str">
        <f t="shared" si="1"/>
        <v/>
      </c>
    </row>
    <row r="461" spans="16:16" ht="13.2" x14ac:dyDescent="0.25">
      <c r="P461" s="19" t="str">
        <f t="shared" si="1"/>
        <v/>
      </c>
    </row>
    <row r="462" spans="16:16" ht="13.2" x14ac:dyDescent="0.25">
      <c r="P462" s="19" t="str">
        <f t="shared" si="1"/>
        <v/>
      </c>
    </row>
    <row r="463" spans="16:16" ht="13.2" x14ac:dyDescent="0.25">
      <c r="P463" s="19" t="str">
        <f t="shared" si="1"/>
        <v/>
      </c>
    </row>
    <row r="464" spans="16:16" ht="13.2" x14ac:dyDescent="0.25">
      <c r="P464" s="19" t="str">
        <f t="shared" si="1"/>
        <v/>
      </c>
    </row>
    <row r="465" spans="16:16" ht="13.2" x14ac:dyDescent="0.25">
      <c r="P465" s="19" t="str">
        <f t="shared" si="1"/>
        <v/>
      </c>
    </row>
    <row r="466" spans="16:16" ht="13.2" x14ac:dyDescent="0.25">
      <c r="P466" s="19" t="str">
        <f t="shared" si="1"/>
        <v/>
      </c>
    </row>
    <row r="467" spans="16:16" ht="13.2" x14ac:dyDescent="0.25">
      <c r="P467" s="19" t="str">
        <f t="shared" si="1"/>
        <v/>
      </c>
    </row>
    <row r="468" spans="16:16" ht="13.2" x14ac:dyDescent="0.25">
      <c r="P468" s="19" t="str">
        <f t="shared" si="1"/>
        <v/>
      </c>
    </row>
    <row r="469" spans="16:16" ht="13.2" x14ac:dyDescent="0.25">
      <c r="P469" s="19" t="str">
        <f t="shared" si="1"/>
        <v/>
      </c>
    </row>
    <row r="470" spans="16:16" ht="13.2" x14ac:dyDescent="0.25">
      <c r="P470" s="19" t="str">
        <f t="shared" si="1"/>
        <v/>
      </c>
    </row>
    <row r="471" spans="16:16" ht="13.2" x14ac:dyDescent="0.25">
      <c r="P471" s="19" t="str">
        <f t="shared" si="1"/>
        <v/>
      </c>
    </row>
    <row r="472" spans="16:16" ht="13.2" x14ac:dyDescent="0.25">
      <c r="P472" s="19" t="str">
        <f t="shared" si="1"/>
        <v/>
      </c>
    </row>
    <row r="473" spans="16:16" ht="13.2" x14ac:dyDescent="0.25">
      <c r="P473" s="19" t="str">
        <f t="shared" si="1"/>
        <v/>
      </c>
    </row>
    <row r="474" spans="16:16" ht="13.2" x14ac:dyDescent="0.25">
      <c r="P474" s="19" t="str">
        <f t="shared" si="1"/>
        <v/>
      </c>
    </row>
    <row r="475" spans="16:16" ht="13.2" x14ac:dyDescent="0.25">
      <c r="P475" s="19" t="str">
        <f t="shared" si="1"/>
        <v/>
      </c>
    </row>
    <row r="476" spans="16:16" ht="13.2" x14ac:dyDescent="0.25">
      <c r="P476" s="19" t="str">
        <f t="shared" si="1"/>
        <v/>
      </c>
    </row>
    <row r="477" spans="16:16" ht="13.2" x14ac:dyDescent="0.25">
      <c r="P477" s="19" t="str">
        <f t="shared" si="1"/>
        <v/>
      </c>
    </row>
    <row r="478" spans="16:16" ht="13.2" x14ac:dyDescent="0.25">
      <c r="P478" s="19" t="str">
        <f t="shared" si="1"/>
        <v/>
      </c>
    </row>
    <row r="479" spans="16:16" ht="13.2" x14ac:dyDescent="0.25">
      <c r="P479" s="19" t="str">
        <f t="shared" si="1"/>
        <v/>
      </c>
    </row>
    <row r="480" spans="16:16" ht="13.2" x14ac:dyDescent="0.25">
      <c r="P480" s="19" t="str">
        <f t="shared" si="1"/>
        <v/>
      </c>
    </row>
    <row r="481" spans="16:16" ht="13.2" x14ac:dyDescent="0.25">
      <c r="P481" s="19" t="str">
        <f t="shared" si="1"/>
        <v/>
      </c>
    </row>
    <row r="482" spans="16:16" ht="13.2" x14ac:dyDescent="0.25">
      <c r="P482" s="19" t="str">
        <f t="shared" si="1"/>
        <v/>
      </c>
    </row>
    <row r="483" spans="16:16" ht="13.2" x14ac:dyDescent="0.25">
      <c r="P483" s="19" t="str">
        <f t="shared" si="1"/>
        <v/>
      </c>
    </row>
    <row r="484" spans="16:16" ht="13.2" x14ac:dyDescent="0.25">
      <c r="P484" s="19" t="str">
        <f t="shared" si="1"/>
        <v/>
      </c>
    </row>
    <row r="485" spans="16:16" ht="13.2" x14ac:dyDescent="0.25">
      <c r="P485" s="19" t="str">
        <f t="shared" si="1"/>
        <v/>
      </c>
    </row>
    <row r="486" spans="16:16" ht="13.2" x14ac:dyDescent="0.25">
      <c r="P486" s="19" t="str">
        <f t="shared" si="1"/>
        <v/>
      </c>
    </row>
    <row r="487" spans="16:16" ht="13.2" x14ac:dyDescent="0.25">
      <c r="P487" s="19" t="str">
        <f t="shared" si="1"/>
        <v/>
      </c>
    </row>
    <row r="488" spans="16:16" ht="13.2" x14ac:dyDescent="0.25">
      <c r="P488" s="19" t="str">
        <f t="shared" si="1"/>
        <v/>
      </c>
    </row>
    <row r="489" spans="16:16" ht="13.2" x14ac:dyDescent="0.25">
      <c r="P489" s="19" t="str">
        <f t="shared" si="1"/>
        <v/>
      </c>
    </row>
    <row r="490" spans="16:16" ht="13.2" x14ac:dyDescent="0.25">
      <c r="P490" s="19" t="str">
        <f t="shared" si="1"/>
        <v/>
      </c>
    </row>
    <row r="491" spans="16:16" ht="13.2" x14ac:dyDescent="0.25">
      <c r="P491" s="19" t="str">
        <f t="shared" si="1"/>
        <v/>
      </c>
    </row>
    <row r="492" spans="16:16" ht="13.2" x14ac:dyDescent="0.25">
      <c r="P492" s="19" t="str">
        <f t="shared" si="1"/>
        <v/>
      </c>
    </row>
    <row r="493" spans="16:16" ht="13.2" x14ac:dyDescent="0.25">
      <c r="P493" s="19" t="str">
        <f t="shared" si="1"/>
        <v/>
      </c>
    </row>
    <row r="494" spans="16:16" ht="13.2" x14ac:dyDescent="0.25">
      <c r="P494" s="19" t="str">
        <f t="shared" si="1"/>
        <v/>
      </c>
    </row>
    <row r="495" spans="16:16" ht="13.2" x14ac:dyDescent="0.25">
      <c r="P495" s="19" t="str">
        <f t="shared" si="1"/>
        <v/>
      </c>
    </row>
    <row r="496" spans="16:16" ht="13.2" x14ac:dyDescent="0.25">
      <c r="P496" s="19" t="str">
        <f t="shared" si="1"/>
        <v/>
      </c>
    </row>
    <row r="497" spans="16:16" ht="13.2" x14ac:dyDescent="0.25">
      <c r="P497" s="19" t="str">
        <f t="shared" si="1"/>
        <v/>
      </c>
    </row>
    <row r="498" spans="16:16" ht="13.2" x14ac:dyDescent="0.25">
      <c r="P498" s="19" t="str">
        <f t="shared" si="1"/>
        <v/>
      </c>
    </row>
    <row r="499" spans="16:16" ht="13.2" x14ac:dyDescent="0.25">
      <c r="P499" s="19" t="str">
        <f t="shared" si="1"/>
        <v/>
      </c>
    </row>
    <row r="500" spans="16:16" ht="13.2" x14ac:dyDescent="0.25">
      <c r="P500" s="19" t="str">
        <f t="shared" si="1"/>
        <v/>
      </c>
    </row>
    <row r="501" spans="16:16" ht="13.2" x14ac:dyDescent="0.25">
      <c r="P501" s="19" t="str">
        <f t="shared" si="1"/>
        <v/>
      </c>
    </row>
    <row r="502" spans="16:16" ht="13.2" x14ac:dyDescent="0.25">
      <c r="P502" s="19" t="str">
        <f t="shared" si="1"/>
        <v/>
      </c>
    </row>
    <row r="503" spans="16:16" ht="13.2" x14ac:dyDescent="0.25">
      <c r="P503" s="19" t="str">
        <f t="shared" si="1"/>
        <v/>
      </c>
    </row>
    <row r="504" spans="16:16" ht="13.2" x14ac:dyDescent="0.25">
      <c r="P504" s="19" t="str">
        <f t="shared" si="1"/>
        <v/>
      </c>
    </row>
    <row r="505" spans="16:16" ht="13.2" x14ac:dyDescent="0.25">
      <c r="P505" s="19" t="str">
        <f t="shared" si="1"/>
        <v/>
      </c>
    </row>
    <row r="506" spans="16:16" ht="13.2" x14ac:dyDescent="0.25">
      <c r="P506" s="19" t="str">
        <f t="shared" si="1"/>
        <v/>
      </c>
    </row>
    <row r="507" spans="16:16" ht="13.2" x14ac:dyDescent="0.25">
      <c r="P507" s="19" t="str">
        <f t="shared" si="1"/>
        <v/>
      </c>
    </row>
    <row r="508" spans="16:16" ht="13.2" x14ac:dyDescent="0.25">
      <c r="P508" s="19" t="str">
        <f t="shared" si="1"/>
        <v/>
      </c>
    </row>
    <row r="509" spans="16:16" ht="13.2" x14ac:dyDescent="0.25">
      <c r="P509" s="19" t="str">
        <f t="shared" si="1"/>
        <v/>
      </c>
    </row>
    <row r="510" spans="16:16" ht="13.2" x14ac:dyDescent="0.25">
      <c r="P510" s="19" t="str">
        <f t="shared" si="1"/>
        <v/>
      </c>
    </row>
    <row r="511" spans="16:16" ht="13.2" x14ac:dyDescent="0.25">
      <c r="P511" s="19" t="str">
        <f t="shared" si="1"/>
        <v/>
      </c>
    </row>
    <row r="512" spans="16:16" ht="13.2" x14ac:dyDescent="0.25">
      <c r="P512" s="19" t="str">
        <f t="shared" ref="P512:P766" si="2">IF(A512="", "", INT(A512))</f>
        <v/>
      </c>
    </row>
    <row r="513" spans="16:16" ht="13.2" x14ac:dyDescent="0.25">
      <c r="P513" s="19" t="str">
        <f t="shared" si="2"/>
        <v/>
      </c>
    </row>
    <row r="514" spans="16:16" ht="13.2" x14ac:dyDescent="0.25">
      <c r="P514" s="19" t="str">
        <f t="shared" si="2"/>
        <v/>
      </c>
    </row>
    <row r="515" spans="16:16" ht="13.2" x14ac:dyDescent="0.25">
      <c r="P515" s="19" t="str">
        <f t="shared" si="2"/>
        <v/>
      </c>
    </row>
    <row r="516" spans="16:16" ht="13.2" x14ac:dyDescent="0.25">
      <c r="P516" s="19" t="str">
        <f t="shared" si="2"/>
        <v/>
      </c>
    </row>
    <row r="517" spans="16:16" ht="13.2" x14ac:dyDescent="0.25">
      <c r="P517" s="19" t="str">
        <f t="shared" si="2"/>
        <v/>
      </c>
    </row>
    <row r="518" spans="16:16" ht="13.2" x14ac:dyDescent="0.25">
      <c r="P518" s="19" t="str">
        <f t="shared" si="2"/>
        <v/>
      </c>
    </row>
    <row r="519" spans="16:16" ht="13.2" x14ac:dyDescent="0.25">
      <c r="P519" s="19" t="str">
        <f t="shared" si="2"/>
        <v/>
      </c>
    </row>
    <row r="520" spans="16:16" ht="13.2" x14ac:dyDescent="0.25">
      <c r="P520" s="19" t="str">
        <f t="shared" si="2"/>
        <v/>
      </c>
    </row>
    <row r="521" spans="16:16" ht="13.2" x14ac:dyDescent="0.25">
      <c r="P521" s="19" t="str">
        <f t="shared" si="2"/>
        <v/>
      </c>
    </row>
    <row r="522" spans="16:16" ht="13.2" x14ac:dyDescent="0.25">
      <c r="P522" s="19" t="str">
        <f t="shared" si="2"/>
        <v/>
      </c>
    </row>
    <row r="523" spans="16:16" ht="13.2" x14ac:dyDescent="0.25">
      <c r="P523" s="19" t="str">
        <f t="shared" si="2"/>
        <v/>
      </c>
    </row>
    <row r="524" spans="16:16" ht="13.2" x14ac:dyDescent="0.25">
      <c r="P524" s="19" t="str">
        <f t="shared" si="2"/>
        <v/>
      </c>
    </row>
    <row r="525" spans="16:16" ht="13.2" x14ac:dyDescent="0.25">
      <c r="P525" s="19" t="str">
        <f t="shared" si="2"/>
        <v/>
      </c>
    </row>
    <row r="526" spans="16:16" ht="13.2" x14ac:dyDescent="0.25">
      <c r="P526" s="19" t="str">
        <f t="shared" si="2"/>
        <v/>
      </c>
    </row>
    <row r="527" spans="16:16" ht="13.2" x14ac:dyDescent="0.25">
      <c r="P527" s="19" t="str">
        <f t="shared" si="2"/>
        <v/>
      </c>
    </row>
    <row r="528" spans="16:16" ht="13.2" x14ac:dyDescent="0.25">
      <c r="P528" s="19" t="str">
        <f t="shared" si="2"/>
        <v/>
      </c>
    </row>
    <row r="529" spans="16:16" ht="13.2" x14ac:dyDescent="0.25">
      <c r="P529" s="19" t="str">
        <f t="shared" si="2"/>
        <v/>
      </c>
    </row>
    <row r="530" spans="16:16" ht="13.2" x14ac:dyDescent="0.25">
      <c r="P530" s="19" t="str">
        <f t="shared" si="2"/>
        <v/>
      </c>
    </row>
    <row r="531" spans="16:16" ht="13.2" x14ac:dyDescent="0.25">
      <c r="P531" s="19" t="str">
        <f t="shared" si="2"/>
        <v/>
      </c>
    </row>
    <row r="532" spans="16:16" ht="13.2" x14ac:dyDescent="0.25">
      <c r="P532" s="19" t="str">
        <f t="shared" si="2"/>
        <v/>
      </c>
    </row>
    <row r="533" spans="16:16" ht="13.2" x14ac:dyDescent="0.25">
      <c r="P533" s="19" t="str">
        <f t="shared" si="2"/>
        <v/>
      </c>
    </row>
    <row r="534" spans="16:16" ht="13.2" x14ac:dyDescent="0.25">
      <c r="P534" s="19" t="str">
        <f t="shared" si="2"/>
        <v/>
      </c>
    </row>
    <row r="535" spans="16:16" ht="13.2" x14ac:dyDescent="0.25">
      <c r="P535" s="19" t="str">
        <f t="shared" si="2"/>
        <v/>
      </c>
    </row>
    <row r="536" spans="16:16" ht="13.2" x14ac:dyDescent="0.25">
      <c r="P536" s="19" t="str">
        <f t="shared" si="2"/>
        <v/>
      </c>
    </row>
    <row r="537" spans="16:16" ht="13.2" x14ac:dyDescent="0.25">
      <c r="P537" s="19" t="str">
        <f t="shared" si="2"/>
        <v/>
      </c>
    </row>
    <row r="538" spans="16:16" ht="13.2" x14ac:dyDescent="0.25">
      <c r="P538" s="19" t="str">
        <f t="shared" si="2"/>
        <v/>
      </c>
    </row>
    <row r="539" spans="16:16" ht="13.2" x14ac:dyDescent="0.25">
      <c r="P539" s="19" t="str">
        <f t="shared" si="2"/>
        <v/>
      </c>
    </row>
    <row r="540" spans="16:16" ht="13.2" x14ac:dyDescent="0.25">
      <c r="P540" s="19" t="str">
        <f t="shared" si="2"/>
        <v/>
      </c>
    </row>
    <row r="541" spans="16:16" ht="13.2" x14ac:dyDescent="0.25">
      <c r="P541" s="19" t="str">
        <f t="shared" si="2"/>
        <v/>
      </c>
    </row>
    <row r="542" spans="16:16" ht="13.2" x14ac:dyDescent="0.25">
      <c r="P542" s="19" t="str">
        <f t="shared" si="2"/>
        <v/>
      </c>
    </row>
    <row r="543" spans="16:16" ht="13.2" x14ac:dyDescent="0.25">
      <c r="P543" s="19" t="str">
        <f t="shared" si="2"/>
        <v/>
      </c>
    </row>
    <row r="544" spans="16:16" ht="13.2" x14ac:dyDescent="0.25">
      <c r="P544" s="19" t="str">
        <f t="shared" si="2"/>
        <v/>
      </c>
    </row>
    <row r="545" spans="16:16" ht="13.2" x14ac:dyDescent="0.25">
      <c r="P545" s="19" t="str">
        <f t="shared" si="2"/>
        <v/>
      </c>
    </row>
    <row r="546" spans="16:16" ht="13.2" x14ac:dyDescent="0.25">
      <c r="P546" s="19" t="str">
        <f t="shared" si="2"/>
        <v/>
      </c>
    </row>
    <row r="547" spans="16:16" ht="13.2" x14ac:dyDescent="0.25">
      <c r="P547" s="19" t="str">
        <f t="shared" si="2"/>
        <v/>
      </c>
    </row>
    <row r="548" spans="16:16" ht="13.2" x14ac:dyDescent="0.25">
      <c r="P548" s="19" t="str">
        <f t="shared" si="2"/>
        <v/>
      </c>
    </row>
    <row r="549" spans="16:16" ht="13.2" x14ac:dyDescent="0.25">
      <c r="P549" s="19" t="str">
        <f t="shared" si="2"/>
        <v/>
      </c>
    </row>
    <row r="550" spans="16:16" ht="13.2" x14ac:dyDescent="0.25">
      <c r="P550" s="19" t="str">
        <f t="shared" si="2"/>
        <v/>
      </c>
    </row>
    <row r="551" spans="16:16" ht="13.2" x14ac:dyDescent="0.25">
      <c r="P551" s="19" t="str">
        <f t="shared" si="2"/>
        <v/>
      </c>
    </row>
    <row r="552" spans="16:16" ht="13.2" x14ac:dyDescent="0.25">
      <c r="P552" s="19" t="str">
        <f t="shared" si="2"/>
        <v/>
      </c>
    </row>
    <row r="553" spans="16:16" ht="13.2" x14ac:dyDescent="0.25">
      <c r="P553" s="19" t="str">
        <f t="shared" si="2"/>
        <v/>
      </c>
    </row>
    <row r="554" spans="16:16" ht="13.2" x14ac:dyDescent="0.25">
      <c r="P554" s="19" t="str">
        <f t="shared" si="2"/>
        <v/>
      </c>
    </row>
    <row r="555" spans="16:16" ht="13.2" x14ac:dyDescent="0.25">
      <c r="P555" s="19" t="str">
        <f t="shared" si="2"/>
        <v/>
      </c>
    </row>
    <row r="556" spans="16:16" ht="13.2" x14ac:dyDescent="0.25">
      <c r="P556" s="19" t="str">
        <f t="shared" si="2"/>
        <v/>
      </c>
    </row>
    <row r="557" spans="16:16" ht="13.2" x14ac:dyDescent="0.25">
      <c r="P557" s="19" t="str">
        <f t="shared" si="2"/>
        <v/>
      </c>
    </row>
    <row r="558" spans="16:16" ht="13.2" x14ac:dyDescent="0.25">
      <c r="P558" s="19" t="str">
        <f t="shared" si="2"/>
        <v/>
      </c>
    </row>
    <row r="559" spans="16:16" ht="13.2" x14ac:dyDescent="0.25">
      <c r="P559" s="19" t="str">
        <f t="shared" si="2"/>
        <v/>
      </c>
    </row>
    <row r="560" spans="16:16" ht="13.2" x14ac:dyDescent="0.25">
      <c r="P560" s="19" t="str">
        <f t="shared" si="2"/>
        <v/>
      </c>
    </row>
    <row r="561" spans="16:16" ht="13.2" x14ac:dyDescent="0.25">
      <c r="P561" s="19" t="str">
        <f t="shared" si="2"/>
        <v/>
      </c>
    </row>
    <row r="562" spans="16:16" ht="13.2" x14ac:dyDescent="0.25">
      <c r="P562" s="19" t="str">
        <f t="shared" si="2"/>
        <v/>
      </c>
    </row>
    <row r="563" spans="16:16" ht="13.2" x14ac:dyDescent="0.25">
      <c r="P563" s="19" t="str">
        <f t="shared" si="2"/>
        <v/>
      </c>
    </row>
    <row r="564" spans="16:16" ht="13.2" x14ac:dyDescent="0.25">
      <c r="P564" s="19" t="str">
        <f t="shared" si="2"/>
        <v/>
      </c>
    </row>
    <row r="565" spans="16:16" ht="13.2" x14ac:dyDescent="0.25">
      <c r="P565" s="19" t="str">
        <f t="shared" si="2"/>
        <v/>
      </c>
    </row>
    <row r="566" spans="16:16" ht="13.2" x14ac:dyDescent="0.25">
      <c r="P566" s="19" t="str">
        <f t="shared" si="2"/>
        <v/>
      </c>
    </row>
    <row r="567" spans="16:16" ht="13.2" x14ac:dyDescent="0.25">
      <c r="P567" s="19" t="str">
        <f t="shared" si="2"/>
        <v/>
      </c>
    </row>
    <row r="568" spans="16:16" ht="13.2" x14ac:dyDescent="0.25">
      <c r="P568" s="19" t="str">
        <f t="shared" si="2"/>
        <v/>
      </c>
    </row>
    <row r="569" spans="16:16" ht="13.2" x14ac:dyDescent="0.25">
      <c r="P569" s="19" t="str">
        <f t="shared" si="2"/>
        <v/>
      </c>
    </row>
    <row r="570" spans="16:16" ht="13.2" x14ac:dyDescent="0.25">
      <c r="P570" s="19" t="str">
        <f t="shared" si="2"/>
        <v/>
      </c>
    </row>
    <row r="571" spans="16:16" ht="13.2" x14ac:dyDescent="0.25">
      <c r="P571" s="19" t="str">
        <f t="shared" si="2"/>
        <v/>
      </c>
    </row>
    <row r="572" spans="16:16" ht="13.2" x14ac:dyDescent="0.25">
      <c r="P572" s="19" t="str">
        <f t="shared" si="2"/>
        <v/>
      </c>
    </row>
    <row r="573" spans="16:16" ht="13.2" x14ac:dyDescent="0.25">
      <c r="P573" s="19" t="str">
        <f t="shared" si="2"/>
        <v/>
      </c>
    </row>
    <row r="574" spans="16:16" ht="13.2" x14ac:dyDescent="0.25">
      <c r="P574" s="19" t="str">
        <f t="shared" si="2"/>
        <v/>
      </c>
    </row>
    <row r="575" spans="16:16" ht="13.2" x14ac:dyDescent="0.25">
      <c r="P575" s="19" t="str">
        <f t="shared" si="2"/>
        <v/>
      </c>
    </row>
    <row r="576" spans="16:16" ht="13.2" x14ac:dyDescent="0.25">
      <c r="P576" s="19" t="str">
        <f t="shared" si="2"/>
        <v/>
      </c>
    </row>
    <row r="577" spans="16:16" ht="13.2" x14ac:dyDescent="0.25">
      <c r="P577" s="19" t="str">
        <f t="shared" si="2"/>
        <v/>
      </c>
    </row>
    <row r="578" spans="16:16" ht="13.2" x14ac:dyDescent="0.25">
      <c r="P578" s="19" t="str">
        <f t="shared" si="2"/>
        <v/>
      </c>
    </row>
    <row r="579" spans="16:16" ht="13.2" x14ac:dyDescent="0.25">
      <c r="P579" s="19" t="str">
        <f t="shared" si="2"/>
        <v/>
      </c>
    </row>
    <row r="580" spans="16:16" ht="13.2" x14ac:dyDescent="0.25">
      <c r="P580" s="19" t="str">
        <f t="shared" si="2"/>
        <v/>
      </c>
    </row>
    <row r="581" spans="16:16" ht="13.2" x14ac:dyDescent="0.25">
      <c r="P581" s="19" t="str">
        <f t="shared" si="2"/>
        <v/>
      </c>
    </row>
    <row r="582" spans="16:16" ht="13.2" x14ac:dyDescent="0.25">
      <c r="P582" s="19" t="str">
        <f t="shared" si="2"/>
        <v/>
      </c>
    </row>
    <row r="583" spans="16:16" ht="13.2" x14ac:dyDescent="0.25">
      <c r="P583" s="19" t="str">
        <f t="shared" si="2"/>
        <v/>
      </c>
    </row>
    <row r="584" spans="16:16" ht="13.2" x14ac:dyDescent="0.25">
      <c r="P584" s="19" t="str">
        <f t="shared" si="2"/>
        <v/>
      </c>
    </row>
    <row r="585" spans="16:16" ht="13.2" x14ac:dyDescent="0.25">
      <c r="P585" s="19" t="str">
        <f t="shared" si="2"/>
        <v/>
      </c>
    </row>
    <row r="586" spans="16:16" ht="13.2" x14ac:dyDescent="0.25">
      <c r="P586" s="19" t="str">
        <f t="shared" si="2"/>
        <v/>
      </c>
    </row>
    <row r="587" spans="16:16" ht="13.2" x14ac:dyDescent="0.25">
      <c r="P587" s="19" t="str">
        <f t="shared" si="2"/>
        <v/>
      </c>
    </row>
    <row r="588" spans="16:16" ht="13.2" x14ac:dyDescent="0.25">
      <c r="P588" s="19" t="str">
        <f t="shared" si="2"/>
        <v/>
      </c>
    </row>
    <row r="589" spans="16:16" ht="13.2" x14ac:dyDescent="0.25">
      <c r="P589" s="19" t="str">
        <f t="shared" si="2"/>
        <v/>
      </c>
    </row>
    <row r="590" spans="16:16" ht="13.2" x14ac:dyDescent="0.25">
      <c r="P590" s="19" t="str">
        <f t="shared" si="2"/>
        <v/>
      </c>
    </row>
    <row r="591" spans="16:16" ht="13.2" x14ac:dyDescent="0.25">
      <c r="P591" s="19" t="str">
        <f t="shared" si="2"/>
        <v/>
      </c>
    </row>
    <row r="592" spans="16:16" ht="13.2" x14ac:dyDescent="0.25">
      <c r="P592" s="19" t="str">
        <f t="shared" si="2"/>
        <v/>
      </c>
    </row>
    <row r="593" spans="16:16" ht="13.2" x14ac:dyDescent="0.25">
      <c r="P593" s="19" t="str">
        <f t="shared" si="2"/>
        <v/>
      </c>
    </row>
    <row r="594" spans="16:16" ht="13.2" x14ac:dyDescent="0.25">
      <c r="P594" s="19" t="str">
        <f t="shared" si="2"/>
        <v/>
      </c>
    </row>
    <row r="595" spans="16:16" ht="13.2" x14ac:dyDescent="0.25">
      <c r="P595" s="19" t="str">
        <f t="shared" si="2"/>
        <v/>
      </c>
    </row>
    <row r="596" spans="16:16" ht="13.2" x14ac:dyDescent="0.25">
      <c r="P596" s="19" t="str">
        <f t="shared" si="2"/>
        <v/>
      </c>
    </row>
    <row r="597" spans="16:16" ht="13.2" x14ac:dyDescent="0.25">
      <c r="P597" s="19" t="str">
        <f t="shared" si="2"/>
        <v/>
      </c>
    </row>
    <row r="598" spans="16:16" ht="13.2" x14ac:dyDescent="0.25">
      <c r="P598" s="19" t="str">
        <f t="shared" si="2"/>
        <v/>
      </c>
    </row>
    <row r="599" spans="16:16" ht="13.2" x14ac:dyDescent="0.25">
      <c r="P599" s="19" t="str">
        <f t="shared" si="2"/>
        <v/>
      </c>
    </row>
    <row r="600" spans="16:16" ht="13.2" x14ac:dyDescent="0.25">
      <c r="P600" s="19" t="str">
        <f t="shared" si="2"/>
        <v/>
      </c>
    </row>
    <row r="601" spans="16:16" ht="13.2" x14ac:dyDescent="0.25">
      <c r="P601" s="19" t="str">
        <f t="shared" si="2"/>
        <v/>
      </c>
    </row>
    <row r="602" spans="16:16" ht="13.2" x14ac:dyDescent="0.25">
      <c r="P602" s="19" t="str">
        <f t="shared" si="2"/>
        <v/>
      </c>
    </row>
    <row r="603" spans="16:16" ht="13.2" x14ac:dyDescent="0.25">
      <c r="P603" s="19" t="str">
        <f t="shared" si="2"/>
        <v/>
      </c>
    </row>
    <row r="604" spans="16:16" ht="13.2" x14ac:dyDescent="0.25">
      <c r="P604" s="19" t="str">
        <f t="shared" si="2"/>
        <v/>
      </c>
    </row>
    <row r="605" spans="16:16" ht="13.2" x14ac:dyDescent="0.25">
      <c r="P605" s="19" t="str">
        <f t="shared" si="2"/>
        <v/>
      </c>
    </row>
    <row r="606" spans="16:16" ht="13.2" x14ac:dyDescent="0.25">
      <c r="P606" s="19" t="str">
        <f t="shared" si="2"/>
        <v/>
      </c>
    </row>
    <row r="607" spans="16:16" ht="13.2" x14ac:dyDescent="0.25">
      <c r="P607" s="19" t="str">
        <f t="shared" si="2"/>
        <v/>
      </c>
    </row>
    <row r="608" spans="16:16" ht="13.2" x14ac:dyDescent="0.25">
      <c r="P608" s="19" t="str">
        <f t="shared" si="2"/>
        <v/>
      </c>
    </row>
    <row r="609" spans="16:16" ht="13.2" x14ac:dyDescent="0.25">
      <c r="P609" s="19" t="str">
        <f t="shared" si="2"/>
        <v/>
      </c>
    </row>
    <row r="610" spans="16:16" ht="13.2" x14ac:dyDescent="0.25">
      <c r="P610" s="19" t="str">
        <f t="shared" si="2"/>
        <v/>
      </c>
    </row>
    <row r="611" spans="16:16" ht="13.2" x14ac:dyDescent="0.25">
      <c r="P611" s="19" t="str">
        <f t="shared" si="2"/>
        <v/>
      </c>
    </row>
    <row r="612" spans="16:16" ht="13.2" x14ac:dyDescent="0.25">
      <c r="P612" s="19" t="str">
        <f t="shared" si="2"/>
        <v/>
      </c>
    </row>
    <row r="613" spans="16:16" ht="13.2" x14ac:dyDescent="0.25">
      <c r="P613" s="19" t="str">
        <f t="shared" si="2"/>
        <v/>
      </c>
    </row>
    <row r="614" spans="16:16" ht="13.2" x14ac:dyDescent="0.25">
      <c r="P614" s="19" t="str">
        <f t="shared" si="2"/>
        <v/>
      </c>
    </row>
    <row r="615" spans="16:16" ht="13.2" x14ac:dyDescent="0.25">
      <c r="P615" s="19" t="str">
        <f t="shared" si="2"/>
        <v/>
      </c>
    </row>
    <row r="616" spans="16:16" ht="13.2" x14ac:dyDescent="0.25">
      <c r="P616" s="19" t="str">
        <f t="shared" si="2"/>
        <v/>
      </c>
    </row>
    <row r="617" spans="16:16" ht="13.2" x14ac:dyDescent="0.25">
      <c r="P617" s="19" t="str">
        <f t="shared" si="2"/>
        <v/>
      </c>
    </row>
    <row r="618" spans="16:16" ht="13.2" x14ac:dyDescent="0.25">
      <c r="P618" s="19" t="str">
        <f t="shared" si="2"/>
        <v/>
      </c>
    </row>
    <row r="619" spans="16:16" ht="13.2" x14ac:dyDescent="0.25">
      <c r="P619" s="19" t="str">
        <f t="shared" si="2"/>
        <v/>
      </c>
    </row>
    <row r="620" spans="16:16" ht="13.2" x14ac:dyDescent="0.25">
      <c r="P620" s="19" t="str">
        <f t="shared" si="2"/>
        <v/>
      </c>
    </row>
    <row r="621" spans="16:16" ht="13.2" x14ac:dyDescent="0.25">
      <c r="P621" s="19" t="str">
        <f t="shared" si="2"/>
        <v/>
      </c>
    </row>
    <row r="622" spans="16:16" ht="13.2" x14ac:dyDescent="0.25">
      <c r="P622" s="19" t="str">
        <f t="shared" si="2"/>
        <v/>
      </c>
    </row>
    <row r="623" spans="16:16" ht="13.2" x14ac:dyDescent="0.25">
      <c r="P623" s="19" t="str">
        <f t="shared" si="2"/>
        <v/>
      </c>
    </row>
    <row r="624" spans="16:16" ht="13.2" x14ac:dyDescent="0.25">
      <c r="P624" s="19" t="str">
        <f t="shared" si="2"/>
        <v/>
      </c>
    </row>
    <row r="625" spans="16:16" ht="13.2" x14ac:dyDescent="0.25">
      <c r="P625" s="19" t="str">
        <f t="shared" si="2"/>
        <v/>
      </c>
    </row>
    <row r="626" spans="16:16" ht="13.2" x14ac:dyDescent="0.25">
      <c r="P626" s="19" t="str">
        <f t="shared" si="2"/>
        <v/>
      </c>
    </row>
    <row r="627" spans="16:16" ht="13.2" x14ac:dyDescent="0.25">
      <c r="P627" s="19" t="str">
        <f t="shared" si="2"/>
        <v/>
      </c>
    </row>
    <row r="628" spans="16:16" ht="13.2" x14ac:dyDescent="0.25">
      <c r="P628" s="19" t="str">
        <f t="shared" si="2"/>
        <v/>
      </c>
    </row>
    <row r="629" spans="16:16" ht="13.2" x14ac:dyDescent="0.25">
      <c r="P629" s="19" t="str">
        <f t="shared" si="2"/>
        <v/>
      </c>
    </row>
    <row r="630" spans="16:16" ht="13.2" x14ac:dyDescent="0.25">
      <c r="P630" s="19" t="str">
        <f t="shared" si="2"/>
        <v/>
      </c>
    </row>
    <row r="631" spans="16:16" ht="13.2" x14ac:dyDescent="0.25">
      <c r="P631" s="19" t="str">
        <f t="shared" si="2"/>
        <v/>
      </c>
    </row>
    <row r="632" spans="16:16" ht="13.2" x14ac:dyDescent="0.25">
      <c r="P632" s="19" t="str">
        <f t="shared" si="2"/>
        <v/>
      </c>
    </row>
    <row r="633" spans="16:16" ht="13.2" x14ac:dyDescent="0.25">
      <c r="P633" s="19" t="str">
        <f t="shared" si="2"/>
        <v/>
      </c>
    </row>
    <row r="634" spans="16:16" ht="13.2" x14ac:dyDescent="0.25">
      <c r="P634" s="19" t="str">
        <f t="shared" si="2"/>
        <v/>
      </c>
    </row>
    <row r="635" spans="16:16" ht="13.2" x14ac:dyDescent="0.25">
      <c r="P635" s="19" t="str">
        <f t="shared" si="2"/>
        <v/>
      </c>
    </row>
    <row r="636" spans="16:16" ht="13.2" x14ac:dyDescent="0.25">
      <c r="P636" s="19" t="str">
        <f t="shared" si="2"/>
        <v/>
      </c>
    </row>
    <row r="637" spans="16:16" ht="13.2" x14ac:dyDescent="0.25">
      <c r="P637" s="19" t="str">
        <f t="shared" si="2"/>
        <v/>
      </c>
    </row>
    <row r="638" spans="16:16" ht="13.2" x14ac:dyDescent="0.25">
      <c r="P638" s="19" t="str">
        <f t="shared" si="2"/>
        <v/>
      </c>
    </row>
    <row r="639" spans="16:16" ht="13.2" x14ac:dyDescent="0.25">
      <c r="P639" s="19" t="str">
        <f t="shared" si="2"/>
        <v/>
      </c>
    </row>
    <row r="640" spans="16:16" ht="13.2" x14ac:dyDescent="0.25">
      <c r="P640" s="19" t="str">
        <f t="shared" si="2"/>
        <v/>
      </c>
    </row>
    <row r="641" spans="16:16" ht="13.2" x14ac:dyDescent="0.25">
      <c r="P641" s="19" t="str">
        <f t="shared" si="2"/>
        <v/>
      </c>
    </row>
    <row r="642" spans="16:16" ht="13.2" x14ac:dyDescent="0.25">
      <c r="P642" s="19" t="str">
        <f t="shared" si="2"/>
        <v/>
      </c>
    </row>
    <row r="643" spans="16:16" ht="13.2" x14ac:dyDescent="0.25">
      <c r="P643" s="19" t="str">
        <f t="shared" si="2"/>
        <v/>
      </c>
    </row>
    <row r="644" spans="16:16" ht="13.2" x14ac:dyDescent="0.25">
      <c r="P644" s="19" t="str">
        <f t="shared" si="2"/>
        <v/>
      </c>
    </row>
    <row r="645" spans="16:16" ht="13.2" x14ac:dyDescent="0.25">
      <c r="P645" s="19" t="str">
        <f t="shared" si="2"/>
        <v/>
      </c>
    </row>
    <row r="646" spans="16:16" ht="13.2" x14ac:dyDescent="0.25">
      <c r="P646" s="19" t="str">
        <f t="shared" si="2"/>
        <v/>
      </c>
    </row>
    <row r="647" spans="16:16" ht="13.2" x14ac:dyDescent="0.25">
      <c r="P647" s="19" t="str">
        <f t="shared" si="2"/>
        <v/>
      </c>
    </row>
    <row r="648" spans="16:16" ht="13.2" x14ac:dyDescent="0.25">
      <c r="P648" s="19" t="str">
        <f t="shared" si="2"/>
        <v/>
      </c>
    </row>
    <row r="649" spans="16:16" ht="13.2" x14ac:dyDescent="0.25">
      <c r="P649" s="19" t="str">
        <f t="shared" si="2"/>
        <v/>
      </c>
    </row>
    <row r="650" spans="16:16" ht="13.2" x14ac:dyDescent="0.25">
      <c r="P650" s="19" t="str">
        <f t="shared" si="2"/>
        <v/>
      </c>
    </row>
    <row r="651" spans="16:16" ht="13.2" x14ac:dyDescent="0.25">
      <c r="P651" s="19" t="str">
        <f t="shared" si="2"/>
        <v/>
      </c>
    </row>
    <row r="652" spans="16:16" ht="13.2" x14ac:dyDescent="0.25">
      <c r="P652" s="19" t="str">
        <f t="shared" si="2"/>
        <v/>
      </c>
    </row>
    <row r="653" spans="16:16" ht="13.2" x14ac:dyDescent="0.25">
      <c r="P653" s="19" t="str">
        <f t="shared" si="2"/>
        <v/>
      </c>
    </row>
    <row r="654" spans="16:16" ht="13.2" x14ac:dyDescent="0.25">
      <c r="P654" s="19" t="str">
        <f t="shared" si="2"/>
        <v/>
      </c>
    </row>
    <row r="655" spans="16:16" ht="13.2" x14ac:dyDescent="0.25">
      <c r="P655" s="19" t="str">
        <f t="shared" si="2"/>
        <v/>
      </c>
    </row>
    <row r="656" spans="16:16" ht="13.2" x14ac:dyDescent="0.25">
      <c r="P656" s="19" t="str">
        <f t="shared" si="2"/>
        <v/>
      </c>
    </row>
    <row r="657" spans="16:16" ht="13.2" x14ac:dyDescent="0.25">
      <c r="P657" s="19" t="str">
        <f t="shared" si="2"/>
        <v/>
      </c>
    </row>
    <row r="658" spans="16:16" ht="13.2" x14ac:dyDescent="0.25">
      <c r="P658" s="19" t="str">
        <f t="shared" si="2"/>
        <v/>
      </c>
    </row>
    <row r="659" spans="16:16" ht="13.2" x14ac:dyDescent="0.25">
      <c r="P659" s="19" t="str">
        <f t="shared" si="2"/>
        <v/>
      </c>
    </row>
    <row r="660" spans="16:16" ht="13.2" x14ac:dyDescent="0.25">
      <c r="P660" s="19" t="str">
        <f t="shared" si="2"/>
        <v/>
      </c>
    </row>
    <row r="661" spans="16:16" ht="13.2" x14ac:dyDescent="0.25">
      <c r="P661" s="19" t="str">
        <f t="shared" si="2"/>
        <v/>
      </c>
    </row>
    <row r="662" spans="16:16" ht="13.2" x14ac:dyDescent="0.25">
      <c r="P662" s="19" t="str">
        <f t="shared" si="2"/>
        <v/>
      </c>
    </row>
    <row r="663" spans="16:16" ht="13.2" x14ac:dyDescent="0.25">
      <c r="P663" s="19" t="str">
        <f t="shared" si="2"/>
        <v/>
      </c>
    </row>
    <row r="664" spans="16:16" ht="13.2" x14ac:dyDescent="0.25">
      <c r="P664" s="19" t="str">
        <f t="shared" si="2"/>
        <v/>
      </c>
    </row>
    <row r="665" spans="16:16" ht="13.2" x14ac:dyDescent="0.25">
      <c r="P665" s="19" t="str">
        <f t="shared" si="2"/>
        <v/>
      </c>
    </row>
    <row r="666" spans="16:16" ht="13.2" x14ac:dyDescent="0.25">
      <c r="P666" s="19" t="str">
        <f t="shared" si="2"/>
        <v/>
      </c>
    </row>
    <row r="667" spans="16:16" ht="13.2" x14ac:dyDescent="0.25">
      <c r="P667" s="19" t="str">
        <f t="shared" si="2"/>
        <v/>
      </c>
    </row>
    <row r="668" spans="16:16" ht="13.2" x14ac:dyDescent="0.25">
      <c r="P668" s="19" t="str">
        <f t="shared" si="2"/>
        <v/>
      </c>
    </row>
    <row r="669" spans="16:16" ht="13.2" x14ac:dyDescent="0.25">
      <c r="P669" s="19" t="str">
        <f t="shared" si="2"/>
        <v/>
      </c>
    </row>
    <row r="670" spans="16:16" ht="13.2" x14ac:dyDescent="0.25">
      <c r="P670" s="19" t="str">
        <f t="shared" si="2"/>
        <v/>
      </c>
    </row>
    <row r="671" spans="16:16" ht="13.2" x14ac:dyDescent="0.25">
      <c r="P671" s="19" t="str">
        <f t="shared" si="2"/>
        <v/>
      </c>
    </row>
    <row r="672" spans="16:16" ht="13.2" x14ac:dyDescent="0.25">
      <c r="P672" s="19" t="str">
        <f t="shared" si="2"/>
        <v/>
      </c>
    </row>
    <row r="673" spans="16:16" ht="13.2" x14ac:dyDescent="0.25">
      <c r="P673" s="19" t="str">
        <f t="shared" si="2"/>
        <v/>
      </c>
    </row>
    <row r="674" spans="16:16" ht="13.2" x14ac:dyDescent="0.25">
      <c r="P674" s="19" t="str">
        <f t="shared" si="2"/>
        <v/>
      </c>
    </row>
    <row r="675" spans="16:16" ht="13.2" x14ac:dyDescent="0.25">
      <c r="P675" s="19" t="str">
        <f t="shared" si="2"/>
        <v/>
      </c>
    </row>
    <row r="676" spans="16:16" ht="13.2" x14ac:dyDescent="0.25">
      <c r="P676" s="19" t="str">
        <f t="shared" si="2"/>
        <v/>
      </c>
    </row>
    <row r="677" spans="16:16" ht="13.2" x14ac:dyDescent="0.25">
      <c r="P677" s="19" t="str">
        <f t="shared" si="2"/>
        <v/>
      </c>
    </row>
    <row r="678" spans="16:16" ht="13.2" x14ac:dyDescent="0.25">
      <c r="P678" s="19" t="str">
        <f t="shared" si="2"/>
        <v/>
      </c>
    </row>
    <row r="679" spans="16:16" ht="13.2" x14ac:dyDescent="0.25">
      <c r="P679" s="19" t="str">
        <f t="shared" si="2"/>
        <v/>
      </c>
    </row>
    <row r="680" spans="16:16" ht="13.2" x14ac:dyDescent="0.25">
      <c r="P680" s="19" t="str">
        <f t="shared" si="2"/>
        <v/>
      </c>
    </row>
    <row r="681" spans="16:16" ht="13.2" x14ac:dyDescent="0.25">
      <c r="P681" s="19" t="str">
        <f t="shared" si="2"/>
        <v/>
      </c>
    </row>
    <row r="682" spans="16:16" ht="13.2" x14ac:dyDescent="0.25">
      <c r="P682" s="19" t="str">
        <f t="shared" si="2"/>
        <v/>
      </c>
    </row>
    <row r="683" spans="16:16" ht="13.2" x14ac:dyDescent="0.25">
      <c r="P683" s="19" t="str">
        <f t="shared" si="2"/>
        <v/>
      </c>
    </row>
    <row r="684" spans="16:16" ht="13.2" x14ac:dyDescent="0.25">
      <c r="P684" s="19" t="str">
        <f t="shared" si="2"/>
        <v/>
      </c>
    </row>
    <row r="685" spans="16:16" ht="13.2" x14ac:dyDescent="0.25">
      <c r="P685" s="19" t="str">
        <f t="shared" si="2"/>
        <v/>
      </c>
    </row>
    <row r="686" spans="16:16" ht="13.2" x14ac:dyDescent="0.25">
      <c r="P686" s="19" t="str">
        <f t="shared" si="2"/>
        <v/>
      </c>
    </row>
    <row r="687" spans="16:16" ht="13.2" x14ac:dyDescent="0.25">
      <c r="P687" s="19" t="str">
        <f t="shared" si="2"/>
        <v/>
      </c>
    </row>
    <row r="688" spans="16:16" ht="13.2" x14ac:dyDescent="0.25">
      <c r="P688" s="19" t="str">
        <f t="shared" si="2"/>
        <v/>
      </c>
    </row>
    <row r="689" spans="16:16" ht="13.2" x14ac:dyDescent="0.25">
      <c r="P689" s="19" t="str">
        <f t="shared" si="2"/>
        <v/>
      </c>
    </row>
    <row r="690" spans="16:16" ht="13.2" x14ac:dyDescent="0.25">
      <c r="P690" s="19" t="str">
        <f t="shared" si="2"/>
        <v/>
      </c>
    </row>
    <row r="691" spans="16:16" ht="13.2" x14ac:dyDescent="0.25">
      <c r="P691" s="19" t="str">
        <f t="shared" si="2"/>
        <v/>
      </c>
    </row>
    <row r="692" spans="16:16" ht="13.2" x14ac:dyDescent="0.25">
      <c r="P692" s="19" t="str">
        <f t="shared" si="2"/>
        <v/>
      </c>
    </row>
    <row r="693" spans="16:16" ht="13.2" x14ac:dyDescent="0.25">
      <c r="P693" s="19" t="str">
        <f t="shared" si="2"/>
        <v/>
      </c>
    </row>
    <row r="694" spans="16:16" ht="13.2" x14ac:dyDescent="0.25">
      <c r="P694" s="19" t="str">
        <f t="shared" si="2"/>
        <v/>
      </c>
    </row>
    <row r="695" spans="16:16" ht="13.2" x14ac:dyDescent="0.25">
      <c r="P695" s="19" t="str">
        <f t="shared" si="2"/>
        <v/>
      </c>
    </row>
    <row r="696" spans="16:16" ht="13.2" x14ac:dyDescent="0.25">
      <c r="P696" s="19" t="str">
        <f t="shared" si="2"/>
        <v/>
      </c>
    </row>
    <row r="697" spans="16:16" ht="13.2" x14ac:dyDescent="0.25">
      <c r="P697" s="19" t="str">
        <f t="shared" si="2"/>
        <v/>
      </c>
    </row>
    <row r="698" spans="16:16" ht="13.2" x14ac:dyDescent="0.25">
      <c r="P698" s="19" t="str">
        <f t="shared" si="2"/>
        <v/>
      </c>
    </row>
    <row r="699" spans="16:16" ht="13.2" x14ac:dyDescent="0.25">
      <c r="P699" s="19" t="str">
        <f t="shared" si="2"/>
        <v/>
      </c>
    </row>
    <row r="700" spans="16:16" ht="13.2" x14ac:dyDescent="0.25">
      <c r="P700" s="19" t="str">
        <f t="shared" si="2"/>
        <v/>
      </c>
    </row>
    <row r="701" spans="16:16" ht="13.2" x14ac:dyDescent="0.25">
      <c r="P701" s="19" t="str">
        <f t="shared" si="2"/>
        <v/>
      </c>
    </row>
    <row r="702" spans="16:16" ht="13.2" x14ac:dyDescent="0.25">
      <c r="P702" s="19" t="str">
        <f t="shared" si="2"/>
        <v/>
      </c>
    </row>
    <row r="703" spans="16:16" ht="13.2" x14ac:dyDescent="0.25">
      <c r="P703" s="19" t="str">
        <f t="shared" si="2"/>
        <v/>
      </c>
    </row>
    <row r="704" spans="16:16" ht="13.2" x14ac:dyDescent="0.25">
      <c r="P704" s="19" t="str">
        <f t="shared" si="2"/>
        <v/>
      </c>
    </row>
    <row r="705" spans="16:16" ht="13.2" x14ac:dyDescent="0.25">
      <c r="P705" s="19" t="str">
        <f t="shared" si="2"/>
        <v/>
      </c>
    </row>
    <row r="706" spans="16:16" ht="13.2" x14ac:dyDescent="0.25">
      <c r="P706" s="19" t="str">
        <f t="shared" si="2"/>
        <v/>
      </c>
    </row>
    <row r="707" spans="16:16" ht="13.2" x14ac:dyDescent="0.25">
      <c r="P707" s="19" t="str">
        <f t="shared" si="2"/>
        <v/>
      </c>
    </row>
    <row r="708" spans="16:16" ht="13.2" x14ac:dyDescent="0.25">
      <c r="P708" s="19" t="str">
        <f t="shared" si="2"/>
        <v/>
      </c>
    </row>
    <row r="709" spans="16:16" ht="13.2" x14ac:dyDescent="0.25">
      <c r="P709" s="19" t="str">
        <f t="shared" si="2"/>
        <v/>
      </c>
    </row>
    <row r="710" spans="16:16" ht="13.2" x14ac:dyDescent="0.25">
      <c r="P710" s="19" t="str">
        <f t="shared" si="2"/>
        <v/>
      </c>
    </row>
    <row r="711" spans="16:16" ht="13.2" x14ac:dyDescent="0.25">
      <c r="P711" s="19" t="str">
        <f t="shared" si="2"/>
        <v/>
      </c>
    </row>
    <row r="712" spans="16:16" ht="13.2" x14ac:dyDescent="0.25">
      <c r="P712" s="19" t="str">
        <f t="shared" si="2"/>
        <v/>
      </c>
    </row>
    <row r="713" spans="16:16" ht="13.2" x14ac:dyDescent="0.25">
      <c r="P713" s="19" t="str">
        <f t="shared" si="2"/>
        <v/>
      </c>
    </row>
    <row r="714" spans="16:16" ht="13.2" x14ac:dyDescent="0.25">
      <c r="P714" s="19" t="str">
        <f t="shared" si="2"/>
        <v/>
      </c>
    </row>
    <row r="715" spans="16:16" ht="13.2" x14ac:dyDescent="0.25">
      <c r="P715" s="19" t="str">
        <f t="shared" si="2"/>
        <v/>
      </c>
    </row>
    <row r="716" spans="16:16" ht="13.2" x14ac:dyDescent="0.25">
      <c r="P716" s="19" t="str">
        <f t="shared" si="2"/>
        <v/>
      </c>
    </row>
    <row r="717" spans="16:16" ht="13.2" x14ac:dyDescent="0.25">
      <c r="P717" s="19" t="str">
        <f t="shared" si="2"/>
        <v/>
      </c>
    </row>
    <row r="718" spans="16:16" ht="13.2" x14ac:dyDescent="0.25">
      <c r="P718" s="19" t="str">
        <f t="shared" si="2"/>
        <v/>
      </c>
    </row>
    <row r="719" spans="16:16" ht="13.2" x14ac:dyDescent="0.25">
      <c r="P719" s="19" t="str">
        <f t="shared" si="2"/>
        <v/>
      </c>
    </row>
    <row r="720" spans="16:16" ht="13.2" x14ac:dyDescent="0.25">
      <c r="P720" s="19" t="str">
        <f t="shared" si="2"/>
        <v/>
      </c>
    </row>
    <row r="721" spans="16:16" ht="13.2" x14ac:dyDescent="0.25">
      <c r="P721" s="19" t="str">
        <f t="shared" si="2"/>
        <v/>
      </c>
    </row>
    <row r="722" spans="16:16" ht="13.2" x14ac:dyDescent="0.25">
      <c r="P722" s="19" t="str">
        <f t="shared" si="2"/>
        <v/>
      </c>
    </row>
    <row r="723" spans="16:16" ht="13.2" x14ac:dyDescent="0.25">
      <c r="P723" s="19" t="str">
        <f t="shared" si="2"/>
        <v/>
      </c>
    </row>
    <row r="724" spans="16:16" ht="13.2" x14ac:dyDescent="0.25">
      <c r="P724" s="19" t="str">
        <f t="shared" si="2"/>
        <v/>
      </c>
    </row>
    <row r="725" spans="16:16" ht="13.2" x14ac:dyDescent="0.25">
      <c r="P725" s="19" t="str">
        <f t="shared" si="2"/>
        <v/>
      </c>
    </row>
    <row r="726" spans="16:16" ht="13.2" x14ac:dyDescent="0.25">
      <c r="P726" s="19" t="str">
        <f t="shared" si="2"/>
        <v/>
      </c>
    </row>
    <row r="727" spans="16:16" ht="13.2" x14ac:dyDescent="0.25">
      <c r="P727" s="19" t="str">
        <f t="shared" si="2"/>
        <v/>
      </c>
    </row>
    <row r="728" spans="16:16" ht="13.2" x14ac:dyDescent="0.25">
      <c r="P728" s="19" t="str">
        <f t="shared" si="2"/>
        <v/>
      </c>
    </row>
    <row r="729" spans="16:16" ht="13.2" x14ac:dyDescent="0.25">
      <c r="P729" s="19" t="str">
        <f t="shared" si="2"/>
        <v/>
      </c>
    </row>
    <row r="730" spans="16:16" ht="13.2" x14ac:dyDescent="0.25">
      <c r="P730" s="19" t="str">
        <f t="shared" si="2"/>
        <v/>
      </c>
    </row>
    <row r="731" spans="16:16" ht="13.2" x14ac:dyDescent="0.25">
      <c r="P731" s="19" t="str">
        <f t="shared" si="2"/>
        <v/>
      </c>
    </row>
    <row r="732" spans="16:16" ht="13.2" x14ac:dyDescent="0.25">
      <c r="P732" s="19" t="str">
        <f t="shared" si="2"/>
        <v/>
      </c>
    </row>
    <row r="733" spans="16:16" ht="13.2" x14ac:dyDescent="0.25">
      <c r="P733" s="19" t="str">
        <f t="shared" si="2"/>
        <v/>
      </c>
    </row>
    <row r="734" spans="16:16" ht="13.2" x14ac:dyDescent="0.25">
      <c r="P734" s="19" t="str">
        <f t="shared" si="2"/>
        <v/>
      </c>
    </row>
    <row r="735" spans="16:16" ht="13.2" x14ac:dyDescent="0.25">
      <c r="P735" s="19" t="str">
        <f t="shared" si="2"/>
        <v/>
      </c>
    </row>
    <row r="736" spans="16:16" ht="13.2" x14ac:dyDescent="0.25">
      <c r="P736" s="19" t="str">
        <f t="shared" si="2"/>
        <v/>
      </c>
    </row>
    <row r="737" spans="16:16" ht="13.2" x14ac:dyDescent="0.25">
      <c r="P737" s="19" t="str">
        <f t="shared" si="2"/>
        <v/>
      </c>
    </row>
    <row r="738" spans="16:16" ht="13.2" x14ac:dyDescent="0.25">
      <c r="P738" s="19" t="str">
        <f t="shared" si="2"/>
        <v/>
      </c>
    </row>
    <row r="739" spans="16:16" ht="13.2" x14ac:dyDescent="0.25">
      <c r="P739" s="19" t="str">
        <f t="shared" si="2"/>
        <v/>
      </c>
    </row>
    <row r="740" spans="16:16" ht="13.2" x14ac:dyDescent="0.25">
      <c r="P740" s="19" t="str">
        <f t="shared" si="2"/>
        <v/>
      </c>
    </row>
    <row r="741" spans="16:16" ht="13.2" x14ac:dyDescent="0.25">
      <c r="P741" s="19" t="str">
        <f t="shared" si="2"/>
        <v/>
      </c>
    </row>
    <row r="742" spans="16:16" ht="13.2" x14ac:dyDescent="0.25">
      <c r="P742" s="19" t="str">
        <f t="shared" si="2"/>
        <v/>
      </c>
    </row>
    <row r="743" spans="16:16" ht="13.2" x14ac:dyDescent="0.25">
      <c r="P743" s="19" t="str">
        <f t="shared" si="2"/>
        <v/>
      </c>
    </row>
    <row r="744" spans="16:16" ht="13.2" x14ac:dyDescent="0.25">
      <c r="P744" s="19" t="str">
        <f t="shared" si="2"/>
        <v/>
      </c>
    </row>
    <row r="745" spans="16:16" ht="13.2" x14ac:dyDescent="0.25">
      <c r="P745" s="19" t="str">
        <f t="shared" si="2"/>
        <v/>
      </c>
    </row>
    <row r="746" spans="16:16" ht="13.2" x14ac:dyDescent="0.25">
      <c r="P746" s="19" t="str">
        <f t="shared" si="2"/>
        <v/>
      </c>
    </row>
    <row r="747" spans="16:16" ht="13.2" x14ac:dyDescent="0.25">
      <c r="P747" s="19" t="str">
        <f t="shared" si="2"/>
        <v/>
      </c>
    </row>
    <row r="748" spans="16:16" ht="13.2" x14ac:dyDescent="0.25">
      <c r="P748" s="19" t="str">
        <f t="shared" si="2"/>
        <v/>
      </c>
    </row>
    <row r="749" spans="16:16" ht="13.2" x14ac:dyDescent="0.25">
      <c r="P749" s="19" t="str">
        <f t="shared" si="2"/>
        <v/>
      </c>
    </row>
    <row r="750" spans="16:16" ht="13.2" x14ac:dyDescent="0.25">
      <c r="P750" s="19" t="str">
        <f t="shared" si="2"/>
        <v/>
      </c>
    </row>
    <row r="751" spans="16:16" ht="13.2" x14ac:dyDescent="0.25">
      <c r="P751" s="19" t="str">
        <f t="shared" si="2"/>
        <v/>
      </c>
    </row>
    <row r="752" spans="16:16" ht="13.2" x14ac:dyDescent="0.25">
      <c r="P752" s="19" t="str">
        <f t="shared" si="2"/>
        <v/>
      </c>
    </row>
    <row r="753" spans="16:16" ht="13.2" x14ac:dyDescent="0.25">
      <c r="P753" s="19" t="str">
        <f t="shared" si="2"/>
        <v/>
      </c>
    </row>
    <row r="754" spans="16:16" ht="13.2" x14ac:dyDescent="0.25">
      <c r="P754" s="19" t="str">
        <f t="shared" si="2"/>
        <v/>
      </c>
    </row>
    <row r="755" spans="16:16" ht="13.2" x14ac:dyDescent="0.25">
      <c r="P755" s="19" t="str">
        <f t="shared" si="2"/>
        <v/>
      </c>
    </row>
    <row r="756" spans="16:16" ht="13.2" x14ac:dyDescent="0.25">
      <c r="P756" s="19" t="str">
        <f t="shared" si="2"/>
        <v/>
      </c>
    </row>
    <row r="757" spans="16:16" ht="13.2" x14ac:dyDescent="0.25">
      <c r="P757" s="19" t="str">
        <f t="shared" si="2"/>
        <v/>
      </c>
    </row>
    <row r="758" spans="16:16" ht="13.2" x14ac:dyDescent="0.25">
      <c r="P758" s="19" t="str">
        <f t="shared" si="2"/>
        <v/>
      </c>
    </row>
    <row r="759" spans="16:16" ht="13.2" x14ac:dyDescent="0.25">
      <c r="P759" s="19" t="str">
        <f t="shared" si="2"/>
        <v/>
      </c>
    </row>
    <row r="760" spans="16:16" ht="13.2" x14ac:dyDescent="0.25">
      <c r="P760" s="19" t="str">
        <f t="shared" si="2"/>
        <v/>
      </c>
    </row>
    <row r="761" spans="16:16" ht="13.2" x14ac:dyDescent="0.25">
      <c r="P761" s="19" t="str">
        <f t="shared" si="2"/>
        <v/>
      </c>
    </row>
    <row r="762" spans="16:16" ht="13.2" x14ac:dyDescent="0.25">
      <c r="P762" s="19" t="str">
        <f t="shared" si="2"/>
        <v/>
      </c>
    </row>
    <row r="763" spans="16:16" ht="13.2" x14ac:dyDescent="0.25">
      <c r="P763" s="19" t="str">
        <f t="shared" si="2"/>
        <v/>
      </c>
    </row>
    <row r="764" spans="16:16" ht="13.2" x14ac:dyDescent="0.25">
      <c r="P764" s="19" t="str">
        <f t="shared" si="2"/>
        <v/>
      </c>
    </row>
    <row r="765" spans="16:16" ht="13.2" x14ac:dyDescent="0.25">
      <c r="P765" s="19" t="str">
        <f t="shared" si="2"/>
        <v/>
      </c>
    </row>
    <row r="766" spans="16:16" ht="13.2" x14ac:dyDescent="0.25">
      <c r="P766" s="19" t="str">
        <f t="shared" si="2"/>
        <v/>
      </c>
    </row>
    <row r="767" spans="16:16" ht="13.2" x14ac:dyDescent="0.25">
      <c r="P767" s="19" t="str">
        <f t="shared" ref="P767:P1000" si="3">IF(A767="", "", INT(A767))</f>
        <v/>
      </c>
    </row>
    <row r="768" spans="16:16" ht="13.2" x14ac:dyDescent="0.25">
      <c r="P768" s="19" t="str">
        <f t="shared" si="3"/>
        <v/>
      </c>
    </row>
    <row r="769" spans="16:16" ht="13.2" x14ac:dyDescent="0.25">
      <c r="P769" s="19" t="str">
        <f t="shared" si="3"/>
        <v/>
      </c>
    </row>
    <row r="770" spans="16:16" ht="13.2" x14ac:dyDescent="0.25">
      <c r="P770" s="19" t="str">
        <f t="shared" si="3"/>
        <v/>
      </c>
    </row>
    <row r="771" spans="16:16" ht="13.2" x14ac:dyDescent="0.25">
      <c r="P771" s="19" t="str">
        <f t="shared" si="3"/>
        <v/>
      </c>
    </row>
    <row r="772" spans="16:16" ht="13.2" x14ac:dyDescent="0.25">
      <c r="P772" s="19" t="str">
        <f t="shared" si="3"/>
        <v/>
      </c>
    </row>
    <row r="773" spans="16:16" ht="13.2" x14ac:dyDescent="0.25">
      <c r="P773" s="19" t="str">
        <f t="shared" si="3"/>
        <v/>
      </c>
    </row>
    <row r="774" spans="16:16" ht="13.2" x14ac:dyDescent="0.25">
      <c r="P774" s="19" t="str">
        <f t="shared" si="3"/>
        <v/>
      </c>
    </row>
    <row r="775" spans="16:16" ht="13.2" x14ac:dyDescent="0.25">
      <c r="P775" s="19" t="str">
        <f t="shared" si="3"/>
        <v/>
      </c>
    </row>
    <row r="776" spans="16:16" ht="13.2" x14ac:dyDescent="0.25">
      <c r="P776" s="19" t="str">
        <f t="shared" si="3"/>
        <v/>
      </c>
    </row>
    <row r="777" spans="16:16" ht="13.2" x14ac:dyDescent="0.25">
      <c r="P777" s="19" t="str">
        <f t="shared" si="3"/>
        <v/>
      </c>
    </row>
    <row r="778" spans="16:16" ht="13.2" x14ac:dyDescent="0.25">
      <c r="P778" s="19" t="str">
        <f t="shared" si="3"/>
        <v/>
      </c>
    </row>
    <row r="779" spans="16:16" ht="13.2" x14ac:dyDescent="0.25">
      <c r="P779" s="19" t="str">
        <f t="shared" si="3"/>
        <v/>
      </c>
    </row>
    <row r="780" spans="16:16" ht="13.2" x14ac:dyDescent="0.25">
      <c r="P780" s="19" t="str">
        <f t="shared" si="3"/>
        <v/>
      </c>
    </row>
    <row r="781" spans="16:16" ht="13.2" x14ac:dyDescent="0.25">
      <c r="P781" s="19" t="str">
        <f t="shared" si="3"/>
        <v/>
      </c>
    </row>
    <row r="782" spans="16:16" ht="13.2" x14ac:dyDescent="0.25">
      <c r="P782" s="19" t="str">
        <f t="shared" si="3"/>
        <v/>
      </c>
    </row>
    <row r="783" spans="16:16" ht="13.2" x14ac:dyDescent="0.25">
      <c r="P783" s="19" t="str">
        <f t="shared" si="3"/>
        <v/>
      </c>
    </row>
    <row r="784" spans="16:16" ht="13.2" x14ac:dyDescent="0.25">
      <c r="P784" s="19" t="str">
        <f t="shared" si="3"/>
        <v/>
      </c>
    </row>
    <row r="785" spans="16:16" ht="13.2" x14ac:dyDescent="0.25">
      <c r="P785" s="19" t="str">
        <f t="shared" si="3"/>
        <v/>
      </c>
    </row>
    <row r="786" spans="16:16" ht="13.2" x14ac:dyDescent="0.25">
      <c r="P786" s="19" t="str">
        <f t="shared" si="3"/>
        <v/>
      </c>
    </row>
    <row r="787" spans="16:16" ht="13.2" x14ac:dyDescent="0.25">
      <c r="P787" s="19" t="str">
        <f t="shared" si="3"/>
        <v/>
      </c>
    </row>
    <row r="788" spans="16:16" ht="13.2" x14ac:dyDescent="0.25">
      <c r="P788" s="19" t="str">
        <f t="shared" si="3"/>
        <v/>
      </c>
    </row>
    <row r="789" spans="16:16" ht="13.2" x14ac:dyDescent="0.25">
      <c r="P789" s="19" t="str">
        <f t="shared" si="3"/>
        <v/>
      </c>
    </row>
    <row r="790" spans="16:16" ht="13.2" x14ac:dyDescent="0.25">
      <c r="P790" s="19" t="str">
        <f t="shared" si="3"/>
        <v/>
      </c>
    </row>
    <row r="791" spans="16:16" ht="13.2" x14ac:dyDescent="0.25">
      <c r="P791" s="19" t="str">
        <f t="shared" si="3"/>
        <v/>
      </c>
    </row>
    <row r="792" spans="16:16" ht="13.2" x14ac:dyDescent="0.25">
      <c r="P792" s="19" t="str">
        <f t="shared" si="3"/>
        <v/>
      </c>
    </row>
    <row r="793" spans="16:16" ht="13.2" x14ac:dyDescent="0.25">
      <c r="P793" s="19" t="str">
        <f t="shared" si="3"/>
        <v/>
      </c>
    </row>
    <row r="794" spans="16:16" ht="13.2" x14ac:dyDescent="0.25">
      <c r="P794" s="19" t="str">
        <f t="shared" si="3"/>
        <v/>
      </c>
    </row>
    <row r="795" spans="16:16" ht="13.2" x14ac:dyDescent="0.25">
      <c r="P795" s="19" t="str">
        <f t="shared" si="3"/>
        <v/>
      </c>
    </row>
    <row r="796" spans="16:16" ht="13.2" x14ac:dyDescent="0.25">
      <c r="P796" s="19" t="str">
        <f t="shared" si="3"/>
        <v/>
      </c>
    </row>
    <row r="797" spans="16:16" ht="13.2" x14ac:dyDescent="0.25">
      <c r="P797" s="19" t="str">
        <f t="shared" si="3"/>
        <v/>
      </c>
    </row>
    <row r="798" spans="16:16" ht="13.2" x14ac:dyDescent="0.25">
      <c r="P798" s="19" t="str">
        <f t="shared" si="3"/>
        <v/>
      </c>
    </row>
    <row r="799" spans="16:16" ht="13.2" x14ac:dyDescent="0.25">
      <c r="P799" s="19" t="str">
        <f t="shared" si="3"/>
        <v/>
      </c>
    </row>
    <row r="800" spans="16:16" ht="13.2" x14ac:dyDescent="0.25">
      <c r="P800" s="19" t="str">
        <f t="shared" si="3"/>
        <v/>
      </c>
    </row>
    <row r="801" spans="16:16" ht="13.2" x14ac:dyDescent="0.25">
      <c r="P801" s="19" t="str">
        <f t="shared" si="3"/>
        <v/>
      </c>
    </row>
    <row r="802" spans="16:16" ht="13.2" x14ac:dyDescent="0.25">
      <c r="P802" s="19" t="str">
        <f t="shared" si="3"/>
        <v/>
      </c>
    </row>
    <row r="803" spans="16:16" ht="13.2" x14ac:dyDescent="0.25">
      <c r="P803" s="19" t="str">
        <f t="shared" si="3"/>
        <v/>
      </c>
    </row>
    <row r="804" spans="16:16" ht="13.2" x14ac:dyDescent="0.25">
      <c r="P804" s="19" t="str">
        <f t="shared" si="3"/>
        <v/>
      </c>
    </row>
    <row r="805" spans="16:16" ht="13.2" x14ac:dyDescent="0.25">
      <c r="P805" s="19" t="str">
        <f t="shared" si="3"/>
        <v/>
      </c>
    </row>
    <row r="806" spans="16:16" ht="13.2" x14ac:dyDescent="0.25">
      <c r="P806" s="19" t="str">
        <f t="shared" si="3"/>
        <v/>
      </c>
    </row>
    <row r="807" spans="16:16" ht="13.2" x14ac:dyDescent="0.25">
      <c r="P807" s="19" t="str">
        <f t="shared" si="3"/>
        <v/>
      </c>
    </row>
    <row r="808" spans="16:16" ht="13.2" x14ac:dyDescent="0.25">
      <c r="P808" s="19" t="str">
        <f t="shared" si="3"/>
        <v/>
      </c>
    </row>
    <row r="809" spans="16:16" ht="13.2" x14ac:dyDescent="0.25">
      <c r="P809" s="19" t="str">
        <f t="shared" si="3"/>
        <v/>
      </c>
    </row>
    <row r="810" spans="16:16" ht="13.2" x14ac:dyDescent="0.25">
      <c r="P810" s="19" t="str">
        <f t="shared" si="3"/>
        <v/>
      </c>
    </row>
    <row r="811" spans="16:16" ht="13.2" x14ac:dyDescent="0.25">
      <c r="P811" s="19" t="str">
        <f t="shared" si="3"/>
        <v/>
      </c>
    </row>
    <row r="812" spans="16:16" ht="13.2" x14ac:dyDescent="0.25">
      <c r="P812" s="19" t="str">
        <f t="shared" si="3"/>
        <v/>
      </c>
    </row>
    <row r="813" spans="16:16" ht="13.2" x14ac:dyDescent="0.25">
      <c r="P813" s="19" t="str">
        <f t="shared" si="3"/>
        <v/>
      </c>
    </row>
    <row r="814" spans="16:16" ht="13.2" x14ac:dyDescent="0.25">
      <c r="P814" s="19" t="str">
        <f t="shared" si="3"/>
        <v/>
      </c>
    </row>
    <row r="815" spans="16:16" ht="13.2" x14ac:dyDescent="0.25">
      <c r="P815" s="19" t="str">
        <f t="shared" si="3"/>
        <v/>
      </c>
    </row>
    <row r="816" spans="16:16" ht="13.2" x14ac:dyDescent="0.25">
      <c r="P816" s="19" t="str">
        <f t="shared" si="3"/>
        <v/>
      </c>
    </row>
    <row r="817" spans="16:16" ht="13.2" x14ac:dyDescent="0.25">
      <c r="P817" s="19" t="str">
        <f t="shared" si="3"/>
        <v/>
      </c>
    </row>
    <row r="818" spans="16:16" ht="13.2" x14ac:dyDescent="0.25">
      <c r="P818" s="19" t="str">
        <f t="shared" si="3"/>
        <v/>
      </c>
    </row>
    <row r="819" spans="16:16" ht="13.2" x14ac:dyDescent="0.25">
      <c r="P819" s="19" t="str">
        <f t="shared" si="3"/>
        <v/>
      </c>
    </row>
    <row r="820" spans="16:16" ht="13.2" x14ac:dyDescent="0.25">
      <c r="P820" s="19" t="str">
        <f t="shared" si="3"/>
        <v/>
      </c>
    </row>
    <row r="821" spans="16:16" ht="13.2" x14ac:dyDescent="0.25">
      <c r="P821" s="19" t="str">
        <f t="shared" si="3"/>
        <v/>
      </c>
    </row>
    <row r="822" spans="16:16" ht="13.2" x14ac:dyDescent="0.25">
      <c r="P822" s="19" t="str">
        <f t="shared" si="3"/>
        <v/>
      </c>
    </row>
    <row r="823" spans="16:16" ht="13.2" x14ac:dyDescent="0.25">
      <c r="P823" s="19" t="str">
        <f t="shared" si="3"/>
        <v/>
      </c>
    </row>
    <row r="824" spans="16:16" ht="13.2" x14ac:dyDescent="0.25">
      <c r="P824" s="19" t="str">
        <f t="shared" si="3"/>
        <v/>
      </c>
    </row>
    <row r="825" spans="16:16" ht="13.2" x14ac:dyDescent="0.25">
      <c r="P825" s="19" t="str">
        <f t="shared" si="3"/>
        <v/>
      </c>
    </row>
    <row r="826" spans="16:16" ht="13.2" x14ac:dyDescent="0.25">
      <c r="P826" s="19" t="str">
        <f t="shared" si="3"/>
        <v/>
      </c>
    </row>
    <row r="827" spans="16:16" ht="13.2" x14ac:dyDescent="0.25">
      <c r="P827" s="19" t="str">
        <f t="shared" si="3"/>
        <v/>
      </c>
    </row>
    <row r="828" spans="16:16" ht="13.2" x14ac:dyDescent="0.25">
      <c r="P828" s="19" t="str">
        <f t="shared" si="3"/>
        <v/>
      </c>
    </row>
    <row r="829" spans="16:16" ht="13.2" x14ac:dyDescent="0.25">
      <c r="P829" s="19" t="str">
        <f t="shared" si="3"/>
        <v/>
      </c>
    </row>
    <row r="830" spans="16:16" ht="13.2" x14ac:dyDescent="0.25">
      <c r="P830" s="19" t="str">
        <f t="shared" si="3"/>
        <v/>
      </c>
    </row>
    <row r="831" spans="16:16" ht="13.2" x14ac:dyDescent="0.25">
      <c r="P831" s="19" t="str">
        <f t="shared" si="3"/>
        <v/>
      </c>
    </row>
    <row r="832" spans="16:16" ht="13.2" x14ac:dyDescent="0.25">
      <c r="P832" s="19" t="str">
        <f t="shared" si="3"/>
        <v/>
      </c>
    </row>
    <row r="833" spans="16:16" ht="13.2" x14ac:dyDescent="0.25">
      <c r="P833" s="19" t="str">
        <f t="shared" si="3"/>
        <v/>
      </c>
    </row>
    <row r="834" spans="16:16" ht="13.2" x14ac:dyDescent="0.25">
      <c r="P834" s="19" t="str">
        <f t="shared" si="3"/>
        <v/>
      </c>
    </row>
    <row r="835" spans="16:16" ht="13.2" x14ac:dyDescent="0.25">
      <c r="P835" s="19" t="str">
        <f t="shared" si="3"/>
        <v/>
      </c>
    </row>
    <row r="836" spans="16:16" ht="13.2" x14ac:dyDescent="0.25">
      <c r="P836" s="19" t="str">
        <f t="shared" si="3"/>
        <v/>
      </c>
    </row>
    <row r="837" spans="16:16" ht="13.2" x14ac:dyDescent="0.25">
      <c r="P837" s="19" t="str">
        <f t="shared" si="3"/>
        <v/>
      </c>
    </row>
    <row r="838" spans="16:16" ht="13.2" x14ac:dyDescent="0.25">
      <c r="P838" s="19" t="str">
        <f t="shared" si="3"/>
        <v/>
      </c>
    </row>
    <row r="839" spans="16:16" ht="13.2" x14ac:dyDescent="0.25">
      <c r="P839" s="19" t="str">
        <f t="shared" si="3"/>
        <v/>
      </c>
    </row>
    <row r="840" spans="16:16" ht="13.2" x14ac:dyDescent="0.25">
      <c r="P840" s="19" t="str">
        <f t="shared" si="3"/>
        <v/>
      </c>
    </row>
    <row r="841" spans="16:16" ht="13.2" x14ac:dyDescent="0.25">
      <c r="P841" s="19" t="str">
        <f t="shared" si="3"/>
        <v/>
      </c>
    </row>
    <row r="842" spans="16:16" ht="13.2" x14ac:dyDescent="0.25">
      <c r="P842" s="19" t="str">
        <f t="shared" si="3"/>
        <v/>
      </c>
    </row>
    <row r="843" spans="16:16" ht="13.2" x14ac:dyDescent="0.25">
      <c r="P843" s="19" t="str">
        <f t="shared" si="3"/>
        <v/>
      </c>
    </row>
    <row r="844" spans="16:16" ht="13.2" x14ac:dyDescent="0.25">
      <c r="P844" s="19" t="str">
        <f t="shared" si="3"/>
        <v/>
      </c>
    </row>
    <row r="845" spans="16:16" ht="13.2" x14ac:dyDescent="0.25">
      <c r="P845" s="19" t="str">
        <f t="shared" si="3"/>
        <v/>
      </c>
    </row>
    <row r="846" spans="16:16" ht="13.2" x14ac:dyDescent="0.25">
      <c r="P846" s="19" t="str">
        <f t="shared" si="3"/>
        <v/>
      </c>
    </row>
    <row r="847" spans="16:16" ht="13.2" x14ac:dyDescent="0.25">
      <c r="P847" s="19" t="str">
        <f t="shared" si="3"/>
        <v/>
      </c>
    </row>
    <row r="848" spans="16:16" ht="13.2" x14ac:dyDescent="0.25">
      <c r="P848" s="19" t="str">
        <f t="shared" si="3"/>
        <v/>
      </c>
    </row>
    <row r="849" spans="16:16" ht="13.2" x14ac:dyDescent="0.25">
      <c r="P849" s="19" t="str">
        <f t="shared" si="3"/>
        <v/>
      </c>
    </row>
    <row r="850" spans="16:16" ht="13.2" x14ac:dyDescent="0.25">
      <c r="P850" s="19" t="str">
        <f t="shared" si="3"/>
        <v/>
      </c>
    </row>
    <row r="851" spans="16:16" ht="13.2" x14ac:dyDescent="0.25">
      <c r="P851" s="19" t="str">
        <f t="shared" si="3"/>
        <v/>
      </c>
    </row>
    <row r="852" spans="16:16" ht="13.2" x14ac:dyDescent="0.25">
      <c r="P852" s="19" t="str">
        <f t="shared" si="3"/>
        <v/>
      </c>
    </row>
    <row r="853" spans="16:16" ht="13.2" x14ac:dyDescent="0.25">
      <c r="P853" s="19" t="str">
        <f t="shared" si="3"/>
        <v/>
      </c>
    </row>
    <row r="854" spans="16:16" ht="13.2" x14ac:dyDescent="0.25">
      <c r="P854" s="19" t="str">
        <f t="shared" si="3"/>
        <v/>
      </c>
    </row>
    <row r="855" spans="16:16" ht="13.2" x14ac:dyDescent="0.25">
      <c r="P855" s="19" t="str">
        <f t="shared" si="3"/>
        <v/>
      </c>
    </row>
    <row r="856" spans="16:16" ht="13.2" x14ac:dyDescent="0.25">
      <c r="P856" s="19" t="str">
        <f t="shared" si="3"/>
        <v/>
      </c>
    </row>
    <row r="857" spans="16:16" ht="13.2" x14ac:dyDescent="0.25">
      <c r="P857" s="19" t="str">
        <f t="shared" si="3"/>
        <v/>
      </c>
    </row>
    <row r="858" spans="16:16" ht="13.2" x14ac:dyDescent="0.25">
      <c r="P858" s="19" t="str">
        <f t="shared" si="3"/>
        <v/>
      </c>
    </row>
    <row r="859" spans="16:16" ht="13.2" x14ac:dyDescent="0.25">
      <c r="P859" s="19" t="str">
        <f t="shared" si="3"/>
        <v/>
      </c>
    </row>
    <row r="860" spans="16:16" ht="13.2" x14ac:dyDescent="0.25">
      <c r="P860" s="19" t="str">
        <f t="shared" si="3"/>
        <v/>
      </c>
    </row>
    <row r="861" spans="16:16" ht="13.2" x14ac:dyDescent="0.25">
      <c r="P861" s="19" t="str">
        <f t="shared" si="3"/>
        <v/>
      </c>
    </row>
    <row r="862" spans="16:16" ht="13.2" x14ac:dyDescent="0.25">
      <c r="P862" s="19" t="str">
        <f t="shared" si="3"/>
        <v/>
      </c>
    </row>
    <row r="863" spans="16:16" ht="13.2" x14ac:dyDescent="0.25">
      <c r="P863" s="19" t="str">
        <f t="shared" si="3"/>
        <v/>
      </c>
    </row>
    <row r="864" spans="16:16" ht="13.2" x14ac:dyDescent="0.25">
      <c r="P864" s="19" t="str">
        <f t="shared" si="3"/>
        <v/>
      </c>
    </row>
    <row r="865" spans="16:16" ht="13.2" x14ac:dyDescent="0.25">
      <c r="P865" s="19" t="str">
        <f t="shared" si="3"/>
        <v/>
      </c>
    </row>
    <row r="866" spans="16:16" ht="13.2" x14ac:dyDescent="0.25">
      <c r="P866" s="19" t="str">
        <f t="shared" si="3"/>
        <v/>
      </c>
    </row>
    <row r="867" spans="16:16" ht="13.2" x14ac:dyDescent="0.25">
      <c r="P867" s="19" t="str">
        <f t="shared" si="3"/>
        <v/>
      </c>
    </row>
    <row r="868" spans="16:16" ht="13.2" x14ac:dyDescent="0.25">
      <c r="P868" s="19" t="str">
        <f t="shared" si="3"/>
        <v/>
      </c>
    </row>
    <row r="869" spans="16:16" ht="13.2" x14ac:dyDescent="0.25">
      <c r="P869" s="19" t="str">
        <f t="shared" si="3"/>
        <v/>
      </c>
    </row>
    <row r="870" spans="16:16" ht="13.2" x14ac:dyDescent="0.25">
      <c r="P870" s="19" t="str">
        <f t="shared" si="3"/>
        <v/>
      </c>
    </row>
    <row r="871" spans="16:16" ht="13.2" x14ac:dyDescent="0.25">
      <c r="P871" s="19" t="str">
        <f t="shared" si="3"/>
        <v/>
      </c>
    </row>
    <row r="872" spans="16:16" ht="13.2" x14ac:dyDescent="0.25">
      <c r="P872" s="19" t="str">
        <f t="shared" si="3"/>
        <v/>
      </c>
    </row>
    <row r="873" spans="16:16" ht="13.2" x14ac:dyDescent="0.25">
      <c r="P873" s="19" t="str">
        <f t="shared" si="3"/>
        <v/>
      </c>
    </row>
    <row r="874" spans="16:16" ht="13.2" x14ac:dyDescent="0.25">
      <c r="P874" s="19" t="str">
        <f t="shared" si="3"/>
        <v/>
      </c>
    </row>
    <row r="875" spans="16:16" ht="13.2" x14ac:dyDescent="0.25">
      <c r="P875" s="19" t="str">
        <f t="shared" si="3"/>
        <v/>
      </c>
    </row>
    <row r="876" spans="16:16" ht="13.2" x14ac:dyDescent="0.25">
      <c r="P876" s="19" t="str">
        <f t="shared" si="3"/>
        <v/>
      </c>
    </row>
    <row r="877" spans="16:16" ht="13.2" x14ac:dyDescent="0.25">
      <c r="P877" s="19" t="str">
        <f t="shared" si="3"/>
        <v/>
      </c>
    </row>
    <row r="878" spans="16:16" ht="13.2" x14ac:dyDescent="0.25">
      <c r="P878" s="19" t="str">
        <f t="shared" si="3"/>
        <v/>
      </c>
    </row>
    <row r="879" spans="16:16" ht="13.2" x14ac:dyDescent="0.25">
      <c r="P879" s="19" t="str">
        <f t="shared" si="3"/>
        <v/>
      </c>
    </row>
    <row r="880" spans="16:16" ht="13.2" x14ac:dyDescent="0.25">
      <c r="P880" s="19" t="str">
        <f t="shared" si="3"/>
        <v/>
      </c>
    </row>
    <row r="881" spans="16:16" ht="13.2" x14ac:dyDescent="0.25">
      <c r="P881" s="19" t="str">
        <f t="shared" si="3"/>
        <v/>
      </c>
    </row>
    <row r="882" spans="16:16" ht="13.2" x14ac:dyDescent="0.25">
      <c r="P882" s="19" t="str">
        <f t="shared" si="3"/>
        <v/>
      </c>
    </row>
    <row r="883" spans="16:16" ht="13.2" x14ac:dyDescent="0.25">
      <c r="P883" s="19" t="str">
        <f t="shared" si="3"/>
        <v/>
      </c>
    </row>
    <row r="884" spans="16:16" ht="13.2" x14ac:dyDescent="0.25">
      <c r="P884" s="19" t="str">
        <f t="shared" si="3"/>
        <v/>
      </c>
    </row>
    <row r="885" spans="16:16" ht="13.2" x14ac:dyDescent="0.25">
      <c r="P885" s="19" t="str">
        <f t="shared" si="3"/>
        <v/>
      </c>
    </row>
    <row r="886" spans="16:16" ht="13.2" x14ac:dyDescent="0.25">
      <c r="P886" s="19" t="str">
        <f t="shared" si="3"/>
        <v/>
      </c>
    </row>
    <row r="887" spans="16:16" ht="13.2" x14ac:dyDescent="0.25">
      <c r="P887" s="19" t="str">
        <f t="shared" si="3"/>
        <v/>
      </c>
    </row>
    <row r="888" spans="16:16" ht="13.2" x14ac:dyDescent="0.25">
      <c r="P888" s="19" t="str">
        <f t="shared" si="3"/>
        <v/>
      </c>
    </row>
    <row r="889" spans="16:16" ht="13.2" x14ac:dyDescent="0.25">
      <c r="P889" s="19" t="str">
        <f t="shared" si="3"/>
        <v/>
      </c>
    </row>
    <row r="890" spans="16:16" ht="13.2" x14ac:dyDescent="0.25">
      <c r="P890" s="19" t="str">
        <f t="shared" si="3"/>
        <v/>
      </c>
    </row>
    <row r="891" spans="16:16" ht="13.2" x14ac:dyDescent="0.25">
      <c r="P891" s="19" t="str">
        <f t="shared" si="3"/>
        <v/>
      </c>
    </row>
    <row r="892" spans="16:16" ht="13.2" x14ac:dyDescent="0.25">
      <c r="P892" s="19" t="str">
        <f t="shared" si="3"/>
        <v/>
      </c>
    </row>
    <row r="893" spans="16:16" ht="13.2" x14ac:dyDescent="0.25">
      <c r="P893" s="19" t="str">
        <f t="shared" si="3"/>
        <v/>
      </c>
    </row>
    <row r="894" spans="16:16" ht="13.2" x14ac:dyDescent="0.25">
      <c r="P894" s="19" t="str">
        <f t="shared" si="3"/>
        <v/>
      </c>
    </row>
    <row r="895" spans="16:16" ht="13.2" x14ac:dyDescent="0.25">
      <c r="P895" s="19" t="str">
        <f t="shared" si="3"/>
        <v/>
      </c>
    </row>
    <row r="896" spans="16:16" ht="13.2" x14ac:dyDescent="0.25">
      <c r="P896" s="19" t="str">
        <f t="shared" si="3"/>
        <v/>
      </c>
    </row>
    <row r="897" spans="16:16" ht="13.2" x14ac:dyDescent="0.25">
      <c r="P897" s="19" t="str">
        <f t="shared" si="3"/>
        <v/>
      </c>
    </row>
    <row r="898" spans="16:16" ht="13.2" x14ac:dyDescent="0.25">
      <c r="P898" s="19" t="str">
        <f t="shared" si="3"/>
        <v/>
      </c>
    </row>
    <row r="899" spans="16:16" ht="13.2" x14ac:dyDescent="0.25">
      <c r="P899" s="19" t="str">
        <f t="shared" si="3"/>
        <v/>
      </c>
    </row>
    <row r="900" spans="16:16" ht="13.2" x14ac:dyDescent="0.25">
      <c r="P900" s="19" t="str">
        <f t="shared" si="3"/>
        <v/>
      </c>
    </row>
    <row r="901" spans="16:16" ht="13.2" x14ac:dyDescent="0.25">
      <c r="P901" s="19" t="str">
        <f t="shared" si="3"/>
        <v/>
      </c>
    </row>
    <row r="902" spans="16:16" ht="13.2" x14ac:dyDescent="0.25">
      <c r="P902" s="19" t="str">
        <f t="shared" si="3"/>
        <v/>
      </c>
    </row>
    <row r="903" spans="16:16" ht="13.2" x14ac:dyDescent="0.25">
      <c r="P903" s="19" t="str">
        <f t="shared" si="3"/>
        <v/>
      </c>
    </row>
    <row r="904" spans="16:16" ht="13.2" x14ac:dyDescent="0.25">
      <c r="P904" s="19" t="str">
        <f t="shared" si="3"/>
        <v/>
      </c>
    </row>
    <row r="905" spans="16:16" ht="13.2" x14ac:dyDescent="0.25">
      <c r="P905" s="19" t="str">
        <f t="shared" si="3"/>
        <v/>
      </c>
    </row>
    <row r="906" spans="16:16" ht="13.2" x14ac:dyDescent="0.25">
      <c r="P906" s="19" t="str">
        <f t="shared" si="3"/>
        <v/>
      </c>
    </row>
    <row r="907" spans="16:16" ht="13.2" x14ac:dyDescent="0.25">
      <c r="P907" s="19" t="str">
        <f t="shared" si="3"/>
        <v/>
      </c>
    </row>
    <row r="908" spans="16:16" ht="13.2" x14ac:dyDescent="0.25">
      <c r="P908" s="19" t="str">
        <f t="shared" si="3"/>
        <v/>
      </c>
    </row>
    <row r="909" spans="16:16" ht="13.2" x14ac:dyDescent="0.25">
      <c r="P909" s="19" t="str">
        <f t="shared" si="3"/>
        <v/>
      </c>
    </row>
    <row r="910" spans="16:16" ht="13.2" x14ac:dyDescent="0.25">
      <c r="P910" s="19" t="str">
        <f t="shared" si="3"/>
        <v/>
      </c>
    </row>
    <row r="911" spans="16:16" ht="13.2" x14ac:dyDescent="0.25">
      <c r="P911" s="19" t="str">
        <f t="shared" si="3"/>
        <v/>
      </c>
    </row>
    <row r="912" spans="16:16" ht="13.2" x14ac:dyDescent="0.25">
      <c r="P912" s="19" t="str">
        <f t="shared" si="3"/>
        <v/>
      </c>
    </row>
    <row r="913" spans="16:16" ht="13.2" x14ac:dyDescent="0.25">
      <c r="P913" s="19" t="str">
        <f t="shared" si="3"/>
        <v/>
      </c>
    </row>
    <row r="914" spans="16:16" ht="13.2" x14ac:dyDescent="0.25">
      <c r="P914" s="19" t="str">
        <f t="shared" si="3"/>
        <v/>
      </c>
    </row>
    <row r="915" spans="16:16" ht="13.2" x14ac:dyDescent="0.25">
      <c r="P915" s="19" t="str">
        <f t="shared" si="3"/>
        <v/>
      </c>
    </row>
    <row r="916" spans="16:16" ht="13.2" x14ac:dyDescent="0.25">
      <c r="P916" s="19" t="str">
        <f t="shared" si="3"/>
        <v/>
      </c>
    </row>
    <row r="917" spans="16:16" ht="13.2" x14ac:dyDescent="0.25">
      <c r="P917" s="19" t="str">
        <f t="shared" si="3"/>
        <v/>
      </c>
    </row>
    <row r="918" spans="16:16" ht="13.2" x14ac:dyDescent="0.25">
      <c r="P918" s="19" t="str">
        <f t="shared" si="3"/>
        <v/>
      </c>
    </row>
    <row r="919" spans="16:16" ht="13.2" x14ac:dyDescent="0.25">
      <c r="P919" s="19" t="str">
        <f t="shared" si="3"/>
        <v/>
      </c>
    </row>
    <row r="920" spans="16:16" ht="13.2" x14ac:dyDescent="0.25">
      <c r="P920" s="19" t="str">
        <f t="shared" si="3"/>
        <v/>
      </c>
    </row>
    <row r="921" spans="16:16" ht="13.2" x14ac:dyDescent="0.25">
      <c r="P921" s="19" t="str">
        <f t="shared" si="3"/>
        <v/>
      </c>
    </row>
    <row r="922" spans="16:16" ht="13.2" x14ac:dyDescent="0.25">
      <c r="P922" s="19" t="str">
        <f t="shared" si="3"/>
        <v/>
      </c>
    </row>
    <row r="923" spans="16:16" ht="13.2" x14ac:dyDescent="0.25">
      <c r="P923" s="19" t="str">
        <f t="shared" si="3"/>
        <v/>
      </c>
    </row>
    <row r="924" spans="16:16" ht="13.2" x14ac:dyDescent="0.25">
      <c r="P924" s="19" t="str">
        <f t="shared" si="3"/>
        <v/>
      </c>
    </row>
    <row r="925" spans="16:16" ht="13.2" x14ac:dyDescent="0.25">
      <c r="P925" s="19" t="str">
        <f t="shared" si="3"/>
        <v/>
      </c>
    </row>
    <row r="926" spans="16:16" ht="13.2" x14ac:dyDescent="0.25">
      <c r="P926" s="19" t="str">
        <f t="shared" si="3"/>
        <v/>
      </c>
    </row>
    <row r="927" spans="16:16" ht="13.2" x14ac:dyDescent="0.25">
      <c r="P927" s="19" t="str">
        <f t="shared" si="3"/>
        <v/>
      </c>
    </row>
    <row r="928" spans="16:16" ht="13.2" x14ac:dyDescent="0.25">
      <c r="P928" s="19" t="str">
        <f t="shared" si="3"/>
        <v/>
      </c>
    </row>
    <row r="929" spans="16:16" ht="13.2" x14ac:dyDescent="0.25">
      <c r="P929" s="19" t="str">
        <f t="shared" si="3"/>
        <v/>
      </c>
    </row>
    <row r="930" spans="16:16" ht="13.2" x14ac:dyDescent="0.25">
      <c r="P930" s="19" t="str">
        <f t="shared" si="3"/>
        <v/>
      </c>
    </row>
    <row r="931" spans="16:16" ht="13.2" x14ac:dyDescent="0.25">
      <c r="P931" s="19" t="str">
        <f t="shared" si="3"/>
        <v/>
      </c>
    </row>
    <row r="932" spans="16:16" ht="13.2" x14ac:dyDescent="0.25">
      <c r="P932" s="19" t="str">
        <f t="shared" si="3"/>
        <v/>
      </c>
    </row>
    <row r="933" spans="16:16" ht="13.2" x14ac:dyDescent="0.25">
      <c r="P933" s="19" t="str">
        <f t="shared" si="3"/>
        <v/>
      </c>
    </row>
    <row r="934" spans="16:16" ht="13.2" x14ac:dyDescent="0.25">
      <c r="P934" s="19" t="str">
        <f t="shared" si="3"/>
        <v/>
      </c>
    </row>
    <row r="935" spans="16:16" ht="13.2" x14ac:dyDescent="0.25">
      <c r="P935" s="19" t="str">
        <f t="shared" si="3"/>
        <v/>
      </c>
    </row>
    <row r="936" spans="16:16" ht="13.2" x14ac:dyDescent="0.25">
      <c r="P936" s="19" t="str">
        <f t="shared" si="3"/>
        <v/>
      </c>
    </row>
    <row r="937" spans="16:16" ht="13.2" x14ac:dyDescent="0.25">
      <c r="P937" s="19" t="str">
        <f t="shared" si="3"/>
        <v/>
      </c>
    </row>
    <row r="938" spans="16:16" ht="13.2" x14ac:dyDescent="0.25">
      <c r="P938" s="19" t="str">
        <f t="shared" si="3"/>
        <v/>
      </c>
    </row>
    <row r="939" spans="16:16" ht="13.2" x14ac:dyDescent="0.25">
      <c r="P939" s="19" t="str">
        <f t="shared" si="3"/>
        <v/>
      </c>
    </row>
    <row r="940" spans="16:16" ht="13.2" x14ac:dyDescent="0.25">
      <c r="P940" s="19" t="str">
        <f t="shared" si="3"/>
        <v/>
      </c>
    </row>
    <row r="941" spans="16:16" ht="13.2" x14ac:dyDescent="0.25">
      <c r="P941" s="19" t="str">
        <f t="shared" si="3"/>
        <v/>
      </c>
    </row>
    <row r="942" spans="16:16" ht="13.2" x14ac:dyDescent="0.25">
      <c r="P942" s="19" t="str">
        <f t="shared" si="3"/>
        <v/>
      </c>
    </row>
    <row r="943" spans="16:16" ht="13.2" x14ac:dyDescent="0.25">
      <c r="P943" s="19" t="str">
        <f t="shared" si="3"/>
        <v/>
      </c>
    </row>
    <row r="944" spans="16:16" ht="13.2" x14ac:dyDescent="0.25">
      <c r="P944" s="19" t="str">
        <f t="shared" si="3"/>
        <v/>
      </c>
    </row>
    <row r="945" spans="16:16" ht="13.2" x14ac:dyDescent="0.25">
      <c r="P945" s="19" t="str">
        <f t="shared" si="3"/>
        <v/>
      </c>
    </row>
    <row r="946" spans="16:16" ht="13.2" x14ac:dyDescent="0.25">
      <c r="P946" s="19" t="str">
        <f t="shared" si="3"/>
        <v/>
      </c>
    </row>
    <row r="947" spans="16:16" ht="13.2" x14ac:dyDescent="0.25">
      <c r="P947" s="19" t="str">
        <f t="shared" si="3"/>
        <v/>
      </c>
    </row>
    <row r="948" spans="16:16" ht="13.2" x14ac:dyDescent="0.25">
      <c r="P948" s="19" t="str">
        <f t="shared" si="3"/>
        <v/>
      </c>
    </row>
    <row r="949" spans="16:16" ht="13.2" x14ac:dyDescent="0.25">
      <c r="P949" s="19" t="str">
        <f t="shared" si="3"/>
        <v/>
      </c>
    </row>
    <row r="950" spans="16:16" ht="13.2" x14ac:dyDescent="0.25">
      <c r="P950" s="19" t="str">
        <f t="shared" si="3"/>
        <v/>
      </c>
    </row>
    <row r="951" spans="16:16" ht="13.2" x14ac:dyDescent="0.25">
      <c r="P951" s="19" t="str">
        <f t="shared" si="3"/>
        <v/>
      </c>
    </row>
    <row r="952" spans="16:16" ht="13.2" x14ac:dyDescent="0.25">
      <c r="P952" s="19" t="str">
        <f t="shared" si="3"/>
        <v/>
      </c>
    </row>
    <row r="953" spans="16:16" ht="13.2" x14ac:dyDescent="0.25">
      <c r="P953" s="19" t="str">
        <f t="shared" si="3"/>
        <v/>
      </c>
    </row>
    <row r="954" spans="16:16" ht="13.2" x14ac:dyDescent="0.25">
      <c r="P954" s="19" t="str">
        <f t="shared" si="3"/>
        <v/>
      </c>
    </row>
    <row r="955" spans="16:16" ht="13.2" x14ac:dyDescent="0.25">
      <c r="P955" s="19" t="str">
        <f t="shared" si="3"/>
        <v/>
      </c>
    </row>
    <row r="956" spans="16:16" ht="13.2" x14ac:dyDescent="0.25">
      <c r="P956" s="19" t="str">
        <f t="shared" si="3"/>
        <v/>
      </c>
    </row>
    <row r="957" spans="16:16" ht="13.2" x14ac:dyDescent="0.25">
      <c r="P957" s="19" t="str">
        <f t="shared" si="3"/>
        <v/>
      </c>
    </row>
    <row r="958" spans="16:16" ht="13.2" x14ac:dyDescent="0.25">
      <c r="P958" s="19" t="str">
        <f t="shared" si="3"/>
        <v/>
      </c>
    </row>
    <row r="959" spans="16:16" ht="13.2" x14ac:dyDescent="0.25">
      <c r="P959" s="19" t="str">
        <f t="shared" si="3"/>
        <v/>
      </c>
    </row>
    <row r="960" spans="16:16" ht="13.2" x14ac:dyDescent="0.25">
      <c r="P960" s="19" t="str">
        <f t="shared" si="3"/>
        <v/>
      </c>
    </row>
    <row r="961" spans="16:16" ht="13.2" x14ac:dyDescent="0.25">
      <c r="P961" s="19" t="str">
        <f t="shared" si="3"/>
        <v/>
      </c>
    </row>
    <row r="962" spans="16:16" ht="13.2" x14ac:dyDescent="0.25">
      <c r="P962" s="19" t="str">
        <f t="shared" si="3"/>
        <v/>
      </c>
    </row>
    <row r="963" spans="16:16" ht="13.2" x14ac:dyDescent="0.25">
      <c r="P963" s="19" t="str">
        <f t="shared" si="3"/>
        <v/>
      </c>
    </row>
    <row r="964" spans="16:16" ht="13.2" x14ac:dyDescent="0.25">
      <c r="P964" s="19" t="str">
        <f t="shared" si="3"/>
        <v/>
      </c>
    </row>
    <row r="965" spans="16:16" ht="13.2" x14ac:dyDescent="0.25">
      <c r="P965" s="19" t="str">
        <f t="shared" si="3"/>
        <v/>
      </c>
    </row>
    <row r="966" spans="16:16" ht="13.2" x14ac:dyDescent="0.25">
      <c r="P966" s="19" t="str">
        <f t="shared" si="3"/>
        <v/>
      </c>
    </row>
    <row r="967" spans="16:16" ht="13.2" x14ac:dyDescent="0.25">
      <c r="P967" s="19" t="str">
        <f t="shared" si="3"/>
        <v/>
      </c>
    </row>
    <row r="968" spans="16:16" ht="13.2" x14ac:dyDescent="0.25">
      <c r="P968" s="19" t="str">
        <f t="shared" si="3"/>
        <v/>
      </c>
    </row>
    <row r="969" spans="16:16" ht="13.2" x14ac:dyDescent="0.25">
      <c r="P969" s="19" t="str">
        <f t="shared" si="3"/>
        <v/>
      </c>
    </row>
    <row r="970" spans="16:16" ht="13.2" x14ac:dyDescent="0.25">
      <c r="P970" s="19" t="str">
        <f t="shared" si="3"/>
        <v/>
      </c>
    </row>
    <row r="971" spans="16:16" ht="13.2" x14ac:dyDescent="0.25">
      <c r="P971" s="19" t="str">
        <f t="shared" si="3"/>
        <v/>
      </c>
    </row>
    <row r="972" spans="16:16" ht="13.2" x14ac:dyDescent="0.25">
      <c r="P972" s="19" t="str">
        <f t="shared" si="3"/>
        <v/>
      </c>
    </row>
    <row r="973" spans="16:16" ht="13.2" x14ac:dyDescent="0.25">
      <c r="P973" s="19" t="str">
        <f t="shared" si="3"/>
        <v/>
      </c>
    </row>
    <row r="974" spans="16:16" ht="13.2" x14ac:dyDescent="0.25">
      <c r="P974" s="19" t="str">
        <f t="shared" si="3"/>
        <v/>
      </c>
    </row>
    <row r="975" spans="16:16" ht="13.2" x14ac:dyDescent="0.25">
      <c r="P975" s="19" t="str">
        <f t="shared" si="3"/>
        <v/>
      </c>
    </row>
    <row r="976" spans="16:16" ht="13.2" x14ac:dyDescent="0.25">
      <c r="P976" s="19" t="str">
        <f t="shared" si="3"/>
        <v/>
      </c>
    </row>
    <row r="977" spans="16:16" ht="13.2" x14ac:dyDescent="0.25">
      <c r="P977" s="19" t="str">
        <f t="shared" si="3"/>
        <v/>
      </c>
    </row>
    <row r="978" spans="16:16" ht="13.2" x14ac:dyDescent="0.25">
      <c r="P978" s="19" t="str">
        <f t="shared" si="3"/>
        <v/>
      </c>
    </row>
    <row r="979" spans="16:16" ht="13.2" x14ac:dyDescent="0.25">
      <c r="P979" s="19" t="str">
        <f t="shared" si="3"/>
        <v/>
      </c>
    </row>
    <row r="980" spans="16:16" ht="13.2" x14ac:dyDescent="0.25">
      <c r="P980" s="19" t="str">
        <f t="shared" si="3"/>
        <v/>
      </c>
    </row>
    <row r="981" spans="16:16" ht="13.2" x14ac:dyDescent="0.25">
      <c r="P981" s="19" t="str">
        <f t="shared" si="3"/>
        <v/>
      </c>
    </row>
    <row r="982" spans="16:16" ht="13.2" x14ac:dyDescent="0.25">
      <c r="P982" s="19" t="str">
        <f t="shared" si="3"/>
        <v/>
      </c>
    </row>
    <row r="983" spans="16:16" ht="13.2" x14ac:dyDescent="0.25">
      <c r="P983" s="19" t="str">
        <f t="shared" si="3"/>
        <v/>
      </c>
    </row>
    <row r="984" spans="16:16" ht="13.2" x14ac:dyDescent="0.25">
      <c r="P984" s="19" t="str">
        <f t="shared" si="3"/>
        <v/>
      </c>
    </row>
    <row r="985" spans="16:16" ht="13.2" x14ac:dyDescent="0.25">
      <c r="P985" s="19" t="str">
        <f t="shared" si="3"/>
        <v/>
      </c>
    </row>
    <row r="986" spans="16:16" ht="13.2" x14ac:dyDescent="0.25">
      <c r="P986" s="19" t="str">
        <f t="shared" si="3"/>
        <v/>
      </c>
    </row>
    <row r="987" spans="16:16" ht="13.2" x14ac:dyDescent="0.25">
      <c r="P987" s="19" t="str">
        <f t="shared" si="3"/>
        <v/>
      </c>
    </row>
    <row r="988" spans="16:16" ht="13.2" x14ac:dyDescent="0.25">
      <c r="P988" s="19" t="str">
        <f t="shared" si="3"/>
        <v/>
      </c>
    </row>
    <row r="989" spans="16:16" ht="13.2" x14ac:dyDescent="0.25">
      <c r="P989" s="19" t="str">
        <f t="shared" si="3"/>
        <v/>
      </c>
    </row>
    <row r="990" spans="16:16" ht="13.2" x14ac:dyDescent="0.25">
      <c r="P990" s="19" t="str">
        <f t="shared" si="3"/>
        <v/>
      </c>
    </row>
    <row r="991" spans="16:16" ht="13.2" x14ac:dyDescent="0.25">
      <c r="P991" s="19" t="str">
        <f t="shared" si="3"/>
        <v/>
      </c>
    </row>
    <row r="992" spans="16:16" ht="13.2" x14ac:dyDescent="0.25">
      <c r="P992" s="19" t="str">
        <f t="shared" si="3"/>
        <v/>
      </c>
    </row>
    <row r="993" spans="16:16" ht="13.2" x14ac:dyDescent="0.25">
      <c r="P993" s="19" t="str">
        <f t="shared" si="3"/>
        <v/>
      </c>
    </row>
    <row r="994" spans="16:16" ht="13.2" x14ac:dyDescent="0.25">
      <c r="P994" s="19" t="str">
        <f t="shared" si="3"/>
        <v/>
      </c>
    </row>
    <row r="995" spans="16:16" ht="13.2" x14ac:dyDescent="0.25">
      <c r="P995" s="19" t="str">
        <f t="shared" si="3"/>
        <v/>
      </c>
    </row>
    <row r="996" spans="16:16" ht="13.2" x14ac:dyDescent="0.25">
      <c r="P996" s="19" t="str">
        <f t="shared" si="3"/>
        <v/>
      </c>
    </row>
    <row r="997" spans="16:16" ht="13.2" x14ac:dyDescent="0.25">
      <c r="P997" s="19" t="str">
        <f t="shared" si="3"/>
        <v/>
      </c>
    </row>
    <row r="998" spans="16:16" ht="13.2" x14ac:dyDescent="0.25">
      <c r="P998" s="19" t="str">
        <f t="shared" si="3"/>
        <v/>
      </c>
    </row>
    <row r="999" spans="16:16" ht="13.2" x14ac:dyDescent="0.25">
      <c r="P999" s="19" t="str">
        <f t="shared" si="3"/>
        <v/>
      </c>
    </row>
    <row r="1000" spans="16:16" ht="13.2" x14ac:dyDescent="0.25">
      <c r="P1000" s="19" t="str">
        <f t="shared" si="3"/>
        <v/>
      </c>
    </row>
  </sheetData>
  <phoneticPr fontId="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G973"/>
  <sheetViews>
    <sheetView workbookViewId="0">
      <pane ySplit="2" topLeftCell="A3" activePane="bottomLeft" state="frozen"/>
      <selection sqref="A1:B1"/>
      <selection pane="bottomLeft" sqref="A1:B1"/>
    </sheetView>
  </sheetViews>
  <sheetFormatPr defaultColWidth="12.6640625" defaultRowHeight="15.75" customHeight="1" x14ac:dyDescent="0.25"/>
  <cols>
    <col min="1" max="1" width="42.77734375" customWidth="1"/>
    <col min="2" max="7" width="13.88671875" customWidth="1"/>
  </cols>
  <sheetData>
    <row r="1" spans="1:7" ht="15.75" customHeight="1" x14ac:dyDescent="0.3">
      <c r="A1" s="36" t="s">
        <v>413</v>
      </c>
      <c r="B1" s="37"/>
      <c r="C1" s="38" t="s">
        <v>414</v>
      </c>
      <c r="D1" s="39"/>
      <c r="E1" s="39"/>
      <c r="F1" s="39"/>
      <c r="G1" s="39"/>
    </row>
    <row r="2" spans="1:7" ht="15.75" customHeight="1" x14ac:dyDescent="0.3">
      <c r="A2" s="9" t="s">
        <v>415</v>
      </c>
      <c r="B2" s="10" t="s">
        <v>424</v>
      </c>
      <c r="C2" s="10" t="s">
        <v>417</v>
      </c>
      <c r="D2" s="11" t="s">
        <v>418</v>
      </c>
      <c r="E2" s="11" t="s">
        <v>419</v>
      </c>
      <c r="F2" s="11" t="s">
        <v>420</v>
      </c>
      <c r="G2" s="12" t="s">
        <v>421</v>
      </c>
    </row>
    <row r="3" spans="1:7" ht="13.2" x14ac:dyDescent="0.25">
      <c r="A3" s="13" t="s">
        <v>17</v>
      </c>
      <c r="B3" s="14">
        <f>IFERROR(COUNTIFS(中間データ!$D:$D,$A3,中間データ!$P:$P,"&gt;="&amp;DATE(2025,8,1),中間データ!$P:$P,"&lt;="&amp;DATE(2025,10,31)),"")</f>
        <v>27</v>
      </c>
      <c r="C3" s="15">
        <f>IFERROR(AVERAGEIFS(中間データ!$F:$F,中間データ!$D:$D,$A3,中間データ!$P:$P,"&gt;="&amp;DATE(2025,8,1),中間データ!$P:$P,"&lt;="&amp;DATE(2025,10,31)),"")</f>
        <v>3.925925925925926</v>
      </c>
      <c r="D3" s="16">
        <f>IFERROR(AVERAGEIFS(中間データ!$H:$H,中間データ!$D:$D,$A3,中間データ!$P:$P,"&gt;="&amp;DATE(2025,8,1),中間データ!$P:$P,"&lt;="&amp;DATE(2025,10,31)),"")</f>
        <v>3.925925925925926</v>
      </c>
      <c r="E3" s="16">
        <f>IFERROR(AVERAGEIFS(中間データ!$G:$G,中間データ!$D:$D,$A3,中間データ!$P:$P,"&gt;="&amp;DATE(2025,8,1),中間データ!$P:$P,"&lt;="&amp;DATE(2025,10,31)),"")</f>
        <v>3.7777777777777777</v>
      </c>
      <c r="F3" s="16">
        <f>IFERROR(AVERAGEIFS(中間データ!$K:$K,中間データ!$D:$D,$A3,中間データ!$P:$P,"&gt;="&amp;DATE(2025,8,1),中間データ!$P:$P,"&lt;="&amp;DATE(2025,10,31)),"")</f>
        <v>3.8148148148148149</v>
      </c>
      <c r="G3" s="16">
        <f>IFERROR(AVERAGEIFS(中間データ!$J:$J,中間データ!$D:$D,$A3,中間データ!$P:$P,"&gt;="&amp;DATE(2025,8,1),中間データ!$P:$P,"&lt;="&amp;DATE(2025,10,31)),"")</f>
        <v>3.6296296296296298</v>
      </c>
    </row>
    <row r="4" spans="1:7" ht="13.2" x14ac:dyDescent="0.25">
      <c r="A4" s="13" t="s">
        <v>75</v>
      </c>
      <c r="B4" s="14">
        <f>IFERROR(COUNTIFS(中間データ!$D:$D,$A4,中間データ!$P:$P,"&gt;="&amp;DATE(2025,8,1),中間データ!$P:$P,"&lt;="&amp;DATE(2025,10,31)),"")</f>
        <v>12</v>
      </c>
      <c r="C4" s="15">
        <f>IFERROR(AVERAGEIFS(中間データ!$F:$F,中間データ!$D:$D,$A4,中間データ!$P:$P,"&gt;="&amp;DATE(2025,8,1),中間データ!$P:$P,"&lt;="&amp;DATE(2025,10,31)),"")</f>
        <v>3</v>
      </c>
      <c r="D4" s="16">
        <f>IFERROR(AVERAGEIFS(中間データ!$H:$H,中間データ!$D:$D,$A4,中間データ!$P:$P,"&gt;="&amp;DATE(2025,8,1),中間データ!$P:$P,"&lt;="&amp;DATE(2025,10,31)),"")</f>
        <v>3.25</v>
      </c>
      <c r="E4" s="16">
        <f>IFERROR(AVERAGEIFS(中間データ!$G:$G,中間データ!$D:$D,$A4,中間データ!$P:$P,"&gt;="&amp;DATE(2025,8,1),中間データ!$P:$P,"&lt;="&amp;DATE(2025,10,31)),"")</f>
        <v>3.5</v>
      </c>
      <c r="F4" s="16">
        <f>IFERROR(AVERAGEIFS(中間データ!$K:$K,中間データ!$D:$D,$A4,中間データ!$P:$P,"&gt;="&amp;DATE(2025,8,1),中間データ!$P:$P,"&lt;="&amp;DATE(2025,10,31)),"")</f>
        <v>3.1666666666666665</v>
      </c>
      <c r="G4" s="16">
        <f>IFERROR(AVERAGEIFS(中間データ!$J:$J,中間データ!$D:$D,$A4,中間データ!$P:$P,"&gt;="&amp;DATE(2025,8,1),中間データ!$P:$P,"&lt;="&amp;DATE(2025,10,31)),"")</f>
        <v>3</v>
      </c>
    </row>
    <row r="5" spans="1:7" ht="13.2" x14ac:dyDescent="0.25">
      <c r="A5" s="13" t="s">
        <v>173</v>
      </c>
      <c r="B5" s="14">
        <f>IFERROR(COUNTIFS(中間データ!$D:$D,$A5,中間データ!$P:$P,"&gt;="&amp;DATE(2025,8,1),中間データ!$P:$P,"&lt;="&amp;DATE(2025,10,31)),"")</f>
        <v>2</v>
      </c>
      <c r="C5" s="15">
        <f>IFERROR(AVERAGEIFS(中間データ!$F:$F,中間データ!$D:$D,$A5,中間データ!$P:$P,"&gt;="&amp;DATE(2025,8,1),中間データ!$P:$P,"&lt;="&amp;DATE(2025,10,31)),"")</f>
        <v>3.5</v>
      </c>
      <c r="D5" s="16">
        <f>IFERROR(AVERAGEIFS(中間データ!$H:$H,中間データ!$D:$D,$A5,中間データ!$P:$P,"&gt;="&amp;DATE(2025,8,1),中間データ!$P:$P,"&lt;="&amp;DATE(2025,10,31)),"")</f>
        <v>3.5</v>
      </c>
      <c r="E5" s="16">
        <f>IFERROR(AVERAGEIFS(中間データ!$G:$G,中間データ!$D:$D,$A5,中間データ!$P:$P,"&gt;="&amp;DATE(2025,8,1),中間データ!$P:$P,"&lt;="&amp;DATE(2025,10,31)),"")</f>
        <v>3.5</v>
      </c>
      <c r="F5" s="16">
        <f>IFERROR(AVERAGEIFS(中間データ!$K:$K,中間データ!$D:$D,$A5,中間データ!$P:$P,"&gt;="&amp;DATE(2025,8,1),中間データ!$P:$P,"&lt;="&amp;DATE(2025,10,31)),"")</f>
        <v>3.5</v>
      </c>
      <c r="G5" s="16">
        <f>IFERROR(AVERAGEIFS(中間データ!$J:$J,中間データ!$D:$D,$A5,中間データ!$P:$P,"&gt;="&amp;DATE(2025,8,1),中間データ!$P:$P,"&lt;="&amp;DATE(2025,10,31)),"")</f>
        <v>2.5</v>
      </c>
    </row>
    <row r="6" spans="1:7" ht="13.2" x14ac:dyDescent="0.25">
      <c r="A6" s="13" t="s">
        <v>168</v>
      </c>
      <c r="B6" s="14">
        <f>IFERROR(COUNTIFS(中間データ!$D:$D,$A6,中間データ!$P:$P,"&gt;="&amp;DATE(2025,8,1),中間データ!$P:$P,"&lt;="&amp;DATE(2025,10,31)),"")</f>
        <v>1</v>
      </c>
      <c r="C6" s="15">
        <f>IFERROR(AVERAGEIFS(中間データ!$F:$F,中間データ!$D:$D,$A6,中間データ!$P:$P,"&gt;="&amp;DATE(2025,8,1),中間データ!$P:$P,"&lt;="&amp;DATE(2025,10,31)),"")</f>
        <v>4</v>
      </c>
      <c r="D6" s="16">
        <f>IFERROR(AVERAGEIFS(中間データ!$H:$H,中間データ!$D:$D,$A6,中間データ!$P:$P,"&gt;="&amp;DATE(2025,8,1),中間データ!$P:$P,"&lt;="&amp;DATE(2025,10,31)),"")</f>
        <v>4</v>
      </c>
      <c r="E6" s="16">
        <f>IFERROR(AVERAGEIFS(中間データ!$G:$G,中間データ!$D:$D,$A6,中間データ!$P:$P,"&gt;="&amp;DATE(2025,8,1),中間データ!$P:$P,"&lt;="&amp;DATE(2025,10,31)),"")</f>
        <v>4</v>
      </c>
      <c r="F6" s="16">
        <f>IFERROR(AVERAGEIFS(中間データ!$K:$K,中間データ!$D:$D,$A6,中間データ!$P:$P,"&gt;="&amp;DATE(2025,8,1),中間データ!$P:$P,"&lt;="&amp;DATE(2025,10,31)),"")</f>
        <v>4</v>
      </c>
      <c r="G6" s="16">
        <f>IFERROR(AVERAGEIFS(中間データ!$J:$J,中間データ!$D:$D,$A6,中間データ!$P:$P,"&gt;="&amp;DATE(2025,8,1),中間データ!$P:$P,"&lt;="&amp;DATE(2025,10,31)),"")</f>
        <v>4</v>
      </c>
    </row>
    <row r="7" spans="1:7" ht="13.2" x14ac:dyDescent="0.25">
      <c r="A7" s="22" t="s">
        <v>272</v>
      </c>
      <c r="B7" s="23">
        <f>IFERROR(COUNTIFS(中間データ!$D:$D,$A7,中間データ!$P:$P,"&gt;="&amp;DATE(2025,8,1),中間データ!$P:$P,"&lt;="&amp;DATE(2025,10,31)),"")</f>
        <v>0</v>
      </c>
      <c r="C7" s="24" t="str">
        <f>IFERROR(AVERAGEIFS(中間データ!$F:$F,中間データ!$D:$D,$A7,中間データ!$P:$P,"&gt;="&amp;DATE(2025,8,1),中間データ!$P:$P,"&lt;="&amp;DATE(2025,10,31)),"")</f>
        <v/>
      </c>
      <c r="D7" s="25" t="str">
        <f>IFERROR(AVERAGEIFS(中間データ!$H:$H,中間データ!$D:$D,$A7,中間データ!$P:$P,"&gt;="&amp;DATE(2025,8,1),中間データ!$P:$P,"&lt;="&amp;DATE(2025,10,31)),"")</f>
        <v/>
      </c>
      <c r="E7" s="25" t="str">
        <f>IFERROR(AVERAGEIFS(中間データ!$G:$G,中間データ!$D:$D,$A7,中間データ!$P:$P,"&gt;="&amp;DATE(2025,8,1),中間データ!$P:$P,"&lt;="&amp;DATE(2025,10,31)),"")</f>
        <v/>
      </c>
      <c r="F7" s="25" t="str">
        <f>IFERROR(AVERAGEIFS(中間データ!$K:$K,中間データ!$D:$D,$A7,中間データ!$P:$P,"&gt;="&amp;DATE(2025,8,1),中間データ!$P:$P,"&lt;="&amp;DATE(2025,10,31)),"")</f>
        <v/>
      </c>
      <c r="G7" s="25" t="str">
        <f>IFERROR(AVERAGEIFS(中間データ!$J:$J,中間データ!$D:$D,$A7,中間データ!$P:$P,"&gt;="&amp;DATE(2025,8,1),中間データ!$P:$P,"&lt;="&amp;DATE(2025,10,31)),"")</f>
        <v/>
      </c>
    </row>
    <row r="8" spans="1:7" ht="13.2" x14ac:dyDescent="0.25">
      <c r="A8" s="22" t="s">
        <v>422</v>
      </c>
      <c r="B8" s="23">
        <f>IFERROR(COUNTIFS(中間データ!$D:$D,$A8,中間データ!$P:$P,"&gt;="&amp;DATE(2025,8,1),中間データ!$P:$P,"&lt;="&amp;DATE(2025,10,31)),"")</f>
        <v>0</v>
      </c>
      <c r="C8" s="24" t="str">
        <f>IFERROR(AVERAGEIFS(中間データ!$F:$F,中間データ!$D:$D,$A8,中間データ!$P:$P,"&gt;="&amp;DATE(2025,8,1),中間データ!$P:$P,"&lt;="&amp;DATE(2025,10,31)),"")</f>
        <v/>
      </c>
      <c r="D8" s="25" t="str">
        <f>IFERROR(AVERAGEIFS(中間データ!$H:$H,中間データ!$D:$D,$A8,中間データ!$P:$P,"&gt;="&amp;DATE(2025,8,1),中間データ!$P:$P,"&lt;="&amp;DATE(2025,10,31)),"")</f>
        <v/>
      </c>
      <c r="E8" s="25" t="str">
        <f>IFERROR(AVERAGEIFS(中間データ!$G:$G,中間データ!$D:$D,$A8,中間データ!$P:$P,"&gt;="&amp;DATE(2025,8,1),中間データ!$P:$P,"&lt;="&amp;DATE(2025,10,31)),"")</f>
        <v/>
      </c>
      <c r="F8" s="25" t="str">
        <f>IFERROR(AVERAGEIFS(中間データ!$K:$K,中間データ!$D:$D,$A8,中間データ!$P:$P,"&gt;="&amp;DATE(2025,8,1),中間データ!$P:$P,"&lt;="&amp;DATE(2025,10,31)),"")</f>
        <v/>
      </c>
      <c r="G8" s="25" t="str">
        <f>IFERROR(AVERAGEIFS(中間データ!$J:$J,中間データ!$D:$D,$A8,中間データ!$P:$P,"&gt;="&amp;DATE(2025,8,1),中間データ!$P:$P,"&lt;="&amp;DATE(2025,10,31)),"")</f>
        <v/>
      </c>
    </row>
    <row r="9" spans="1:7" ht="13.2" x14ac:dyDescent="0.25">
      <c r="A9" s="22" t="s">
        <v>259</v>
      </c>
      <c r="B9" s="23">
        <f>IFERROR(COUNTIFS(中間データ!$D:$D,$A9,中間データ!$P:$P,"&gt;="&amp;DATE(2025,8,1),中間データ!$P:$P,"&lt;="&amp;DATE(2025,10,31)),"")</f>
        <v>0</v>
      </c>
      <c r="C9" s="24" t="str">
        <f>IFERROR(AVERAGEIFS(中間データ!$F:$F,中間データ!$D:$D,$A9,中間データ!$P:$P,"&gt;="&amp;DATE(2025,8,1),中間データ!$P:$P,"&lt;="&amp;DATE(2025,10,31)),"")</f>
        <v/>
      </c>
      <c r="D9" s="25" t="str">
        <f>IFERROR(AVERAGEIFS(中間データ!$H:$H,中間データ!$D:$D,$A9,中間データ!$P:$P,"&gt;="&amp;DATE(2025,8,1),中間データ!$P:$P,"&lt;="&amp;DATE(2025,10,31)),"")</f>
        <v/>
      </c>
      <c r="E9" s="25" t="str">
        <f>IFERROR(AVERAGEIFS(中間データ!$G:$G,中間データ!$D:$D,$A9,中間データ!$P:$P,"&gt;="&amp;DATE(2025,8,1),中間データ!$P:$P,"&lt;="&amp;DATE(2025,10,31)),"")</f>
        <v/>
      </c>
      <c r="F9" s="25" t="str">
        <f>IFERROR(AVERAGEIFS(中間データ!$K:$K,中間データ!$D:$D,$A9,中間データ!$P:$P,"&gt;="&amp;DATE(2025,8,1),中間データ!$P:$P,"&lt;="&amp;DATE(2025,10,31)),"")</f>
        <v/>
      </c>
      <c r="G9" s="25" t="str">
        <f>IFERROR(AVERAGEIFS(中間データ!$J:$J,中間データ!$D:$D,$A9,中間データ!$P:$P,"&gt;="&amp;DATE(2025,8,1),中間データ!$P:$P,"&lt;="&amp;DATE(2025,10,31)),"")</f>
        <v/>
      </c>
    </row>
    <row r="10" spans="1:7" ht="13.2" x14ac:dyDescent="0.25">
      <c r="A10" s="13" t="s">
        <v>164</v>
      </c>
      <c r="B10" s="14">
        <f>IFERROR(COUNTIFS(中間データ!$D:$D,$A10,中間データ!$P:$P,"&gt;="&amp;DATE(2025,8,1),中間データ!$P:$P,"&lt;="&amp;DATE(2025,10,31)),"")</f>
        <v>4</v>
      </c>
      <c r="C10" s="15">
        <f>IFERROR(AVERAGEIFS(中間データ!$F:$F,中間データ!$D:$D,$A10,中間データ!$P:$P,"&gt;="&amp;DATE(2025,8,1),中間データ!$P:$P,"&lt;="&amp;DATE(2025,10,31)),"")</f>
        <v>3.5</v>
      </c>
      <c r="D10" s="16">
        <f>IFERROR(AVERAGEIFS(中間データ!$H:$H,中間データ!$D:$D,$A10,中間データ!$P:$P,"&gt;="&amp;DATE(2025,8,1),中間データ!$P:$P,"&lt;="&amp;DATE(2025,10,31)),"")</f>
        <v>3.75</v>
      </c>
      <c r="E10" s="16">
        <f>IFERROR(AVERAGEIFS(中間データ!$G:$G,中間データ!$D:$D,$A10,中間データ!$P:$P,"&gt;="&amp;DATE(2025,8,1),中間データ!$P:$P,"&lt;="&amp;DATE(2025,10,31)),"")</f>
        <v>3.5</v>
      </c>
      <c r="F10" s="16">
        <f>IFERROR(AVERAGEIFS(中間データ!$K:$K,中間データ!$D:$D,$A10,中間データ!$P:$P,"&gt;="&amp;DATE(2025,8,1),中間データ!$P:$P,"&lt;="&amp;DATE(2025,10,31)),"")</f>
        <v>3.75</v>
      </c>
      <c r="G10" s="16">
        <f>IFERROR(AVERAGEIFS(中間データ!$J:$J,中間データ!$D:$D,$A10,中間データ!$P:$P,"&gt;="&amp;DATE(2025,8,1),中間データ!$P:$P,"&lt;="&amp;DATE(2025,10,31)),"")</f>
        <v>4</v>
      </c>
    </row>
    <row r="11" spans="1:7" ht="13.2" x14ac:dyDescent="0.25">
      <c r="A11" s="13" t="s">
        <v>159</v>
      </c>
      <c r="B11" s="14">
        <f>IFERROR(COUNTIFS(中間データ!$D:$D,$A11,中間データ!$P:$P,"&gt;="&amp;DATE(2025,8,1),中間データ!$P:$P,"&lt;="&amp;DATE(2025,10,31)),"")</f>
        <v>1</v>
      </c>
      <c r="C11" s="15">
        <f>IFERROR(AVERAGEIFS(中間データ!$F:$F,中間データ!$D:$D,$A11,中間データ!$P:$P,"&gt;="&amp;DATE(2025,8,1),中間データ!$P:$P,"&lt;="&amp;DATE(2025,10,31)),"")</f>
        <v>2</v>
      </c>
      <c r="D11" s="16">
        <f>IFERROR(AVERAGEIFS(中間データ!$H:$H,中間データ!$D:$D,$A11,中間データ!$P:$P,"&gt;="&amp;DATE(2025,8,1),中間データ!$P:$P,"&lt;="&amp;DATE(2025,10,31)),"")</f>
        <v>1</v>
      </c>
      <c r="E11" s="16">
        <f>IFERROR(AVERAGEIFS(中間データ!$G:$G,中間データ!$D:$D,$A11,中間データ!$P:$P,"&gt;="&amp;DATE(2025,8,1),中間データ!$P:$P,"&lt;="&amp;DATE(2025,10,31)),"")</f>
        <v>4</v>
      </c>
      <c r="F11" s="16">
        <f>IFERROR(AVERAGEIFS(中間データ!$K:$K,中間データ!$D:$D,$A11,中間データ!$P:$P,"&gt;="&amp;DATE(2025,8,1),中間データ!$P:$P,"&lt;="&amp;DATE(2025,10,31)),"")</f>
        <v>1</v>
      </c>
      <c r="G11" s="16">
        <f>IFERROR(AVERAGEIFS(中間データ!$J:$J,中間データ!$D:$D,$A11,中間データ!$P:$P,"&gt;="&amp;DATE(2025,8,1),中間データ!$P:$P,"&lt;="&amp;DATE(2025,10,31)),"")</f>
        <v>3</v>
      </c>
    </row>
    <row r="12" spans="1:7" ht="13.2" x14ac:dyDescent="0.25">
      <c r="A12" s="13" t="s">
        <v>53</v>
      </c>
      <c r="B12" s="14">
        <f>IFERROR(COUNTIFS(中間データ!$D:$D,$A12,中間データ!$P:$P,"&gt;="&amp;DATE(2025,8,1),中間データ!$P:$P,"&lt;="&amp;DATE(2025,10,31)),"")</f>
        <v>6</v>
      </c>
      <c r="C12" s="15">
        <f>IFERROR(AVERAGEIFS(中間データ!$F:$F,中間データ!$D:$D,$A12,中間データ!$P:$P,"&gt;="&amp;DATE(2025,8,1),中間データ!$P:$P,"&lt;="&amp;DATE(2025,10,31)),"")</f>
        <v>2.8333333333333335</v>
      </c>
      <c r="D12" s="16">
        <f>IFERROR(AVERAGEIFS(中間データ!$H:$H,中間データ!$D:$D,$A12,中間データ!$P:$P,"&gt;="&amp;DATE(2025,8,1),中間データ!$P:$P,"&lt;="&amp;DATE(2025,10,31)),"")</f>
        <v>3.3333333333333335</v>
      </c>
      <c r="E12" s="16">
        <f>IFERROR(AVERAGEIFS(中間データ!$G:$G,中間データ!$D:$D,$A12,中間データ!$P:$P,"&gt;="&amp;DATE(2025,8,1),中間データ!$P:$P,"&lt;="&amp;DATE(2025,10,31)),"")</f>
        <v>3.1666666666666665</v>
      </c>
      <c r="F12" s="16">
        <f>IFERROR(AVERAGEIFS(中間データ!$K:$K,中間データ!$D:$D,$A12,中間データ!$P:$P,"&gt;="&amp;DATE(2025,8,1),中間データ!$P:$P,"&lt;="&amp;DATE(2025,10,31)),"")</f>
        <v>3</v>
      </c>
      <c r="G12" s="16">
        <f>IFERROR(AVERAGEIFS(中間データ!$J:$J,中間データ!$D:$D,$A12,中間データ!$P:$P,"&gt;="&amp;DATE(2025,8,1),中間データ!$P:$P,"&lt;="&amp;DATE(2025,10,31)),"")</f>
        <v>2.1666666666666665</v>
      </c>
    </row>
    <row r="13" spans="1:7" ht="13.2" x14ac:dyDescent="0.25">
      <c r="A13" s="13" t="s">
        <v>60</v>
      </c>
      <c r="B13" s="14">
        <f>IFERROR(COUNTIFS(中間データ!$D:$D,$A13,中間データ!$P:$P,"&gt;="&amp;DATE(2025,8,1),中間データ!$P:$P,"&lt;="&amp;DATE(2025,10,31)),"")</f>
        <v>12</v>
      </c>
      <c r="C13" s="15">
        <f>IFERROR(AVERAGEIFS(中間データ!$F:$F,中間データ!$D:$D,$A13,中間データ!$P:$P,"&gt;="&amp;DATE(2025,8,1),中間データ!$P:$P,"&lt;="&amp;DATE(2025,10,31)),"")</f>
        <v>3.5833333333333335</v>
      </c>
      <c r="D13" s="16">
        <f>IFERROR(AVERAGEIFS(中間データ!$H:$H,中間データ!$D:$D,$A13,中間データ!$P:$P,"&gt;="&amp;DATE(2025,8,1),中間データ!$P:$P,"&lt;="&amp;DATE(2025,10,31)),"")</f>
        <v>3.5</v>
      </c>
      <c r="E13" s="16">
        <f>IFERROR(AVERAGEIFS(中間データ!$G:$G,中間データ!$D:$D,$A13,中間データ!$P:$P,"&gt;="&amp;DATE(2025,8,1),中間データ!$P:$P,"&lt;="&amp;DATE(2025,10,31)),"")</f>
        <v>3.5</v>
      </c>
      <c r="F13" s="16">
        <f>IFERROR(AVERAGEIFS(中間データ!$K:$K,中間データ!$D:$D,$A13,中間データ!$P:$P,"&gt;="&amp;DATE(2025,8,1),中間データ!$P:$P,"&lt;="&amp;DATE(2025,10,31)),"")</f>
        <v>3.1666666666666665</v>
      </c>
      <c r="G13" s="16">
        <f>IFERROR(AVERAGEIFS(中間データ!$J:$J,中間データ!$D:$D,$A13,中間データ!$P:$P,"&gt;="&amp;DATE(2025,8,1),中間データ!$P:$P,"&lt;="&amp;DATE(2025,10,31)),"")</f>
        <v>3.0833333333333335</v>
      </c>
    </row>
    <row r="14" spans="1:7" ht="13.2" x14ac:dyDescent="0.25">
      <c r="A14" s="13" t="s">
        <v>148</v>
      </c>
      <c r="B14" s="14">
        <f>IFERROR(COUNTIFS(中間データ!$D:$D,$A14,中間データ!$P:$P,"&gt;="&amp;DATE(2025,8,1),中間データ!$P:$P,"&lt;="&amp;DATE(2025,10,31)),"")</f>
        <v>3</v>
      </c>
      <c r="C14" s="15">
        <f>IFERROR(AVERAGEIFS(中間データ!$F:$F,中間データ!$D:$D,$A14,中間データ!$P:$P,"&gt;="&amp;DATE(2025,8,1),中間データ!$P:$P,"&lt;="&amp;DATE(2025,10,31)),"")</f>
        <v>3</v>
      </c>
      <c r="D14" s="16">
        <f>IFERROR(AVERAGEIFS(中間データ!$H:$H,中間データ!$D:$D,$A14,中間データ!$P:$P,"&gt;="&amp;DATE(2025,8,1),中間データ!$P:$P,"&lt;="&amp;DATE(2025,10,31)),"")</f>
        <v>2.6666666666666665</v>
      </c>
      <c r="E14" s="16">
        <f>IFERROR(AVERAGEIFS(中間データ!$G:$G,中間データ!$D:$D,$A14,中間データ!$P:$P,"&gt;="&amp;DATE(2025,8,1),中間データ!$P:$P,"&lt;="&amp;DATE(2025,10,31)),"")</f>
        <v>2.3333333333333335</v>
      </c>
      <c r="F14" s="16">
        <f>IFERROR(AVERAGEIFS(中間データ!$K:$K,中間データ!$D:$D,$A14,中間データ!$P:$P,"&gt;="&amp;DATE(2025,8,1),中間データ!$P:$P,"&lt;="&amp;DATE(2025,10,31)),"")</f>
        <v>3</v>
      </c>
      <c r="G14" s="16">
        <f>IFERROR(AVERAGEIFS(中間データ!$J:$J,中間データ!$D:$D,$A14,中間データ!$P:$P,"&gt;="&amp;DATE(2025,8,1),中間データ!$P:$P,"&lt;="&amp;DATE(2025,10,31)),"")</f>
        <v>1.6666666666666667</v>
      </c>
    </row>
    <row r="15" spans="1:7" ht="13.2" x14ac:dyDescent="0.25">
      <c r="A15" s="13" t="s">
        <v>117</v>
      </c>
      <c r="B15" s="14">
        <f>IFERROR(COUNTIFS(中間データ!$D:$D,$A15,中間データ!$P:$P,"&gt;="&amp;DATE(2025,8,1),中間データ!$P:$P,"&lt;="&amp;DATE(2025,10,31)),"")</f>
        <v>3</v>
      </c>
      <c r="C15" s="15">
        <f>IFERROR(AVERAGEIFS(中間データ!$F:$F,中間データ!$D:$D,$A15,中間データ!$P:$P,"&gt;="&amp;DATE(2025,8,1),中間データ!$P:$P,"&lt;="&amp;DATE(2025,10,31)),"")</f>
        <v>4</v>
      </c>
      <c r="D15" s="16">
        <f>IFERROR(AVERAGEIFS(中間データ!$H:$H,中間データ!$D:$D,$A15,中間データ!$P:$P,"&gt;="&amp;DATE(2025,8,1),中間データ!$P:$P,"&lt;="&amp;DATE(2025,10,31)),"")</f>
        <v>3.6666666666666665</v>
      </c>
      <c r="E15" s="16">
        <f>IFERROR(AVERAGEIFS(中間データ!$G:$G,中間データ!$D:$D,$A15,中間データ!$P:$P,"&gt;="&amp;DATE(2025,8,1),中間データ!$P:$P,"&lt;="&amp;DATE(2025,10,31)),"")</f>
        <v>4</v>
      </c>
      <c r="F15" s="16">
        <f>IFERROR(AVERAGEIFS(中間データ!$K:$K,中間データ!$D:$D,$A15,中間データ!$P:$P,"&gt;="&amp;DATE(2025,8,1),中間データ!$P:$P,"&lt;="&amp;DATE(2025,10,31)),"")</f>
        <v>3.3333333333333335</v>
      </c>
      <c r="G15" s="16">
        <f>IFERROR(AVERAGEIFS(中間データ!$J:$J,中間データ!$D:$D,$A15,中間データ!$P:$P,"&gt;="&amp;DATE(2025,8,1),中間データ!$P:$P,"&lt;="&amp;DATE(2025,10,31)),"")</f>
        <v>3.3333333333333335</v>
      </c>
    </row>
    <row r="16" spans="1:7" ht="13.2" x14ac:dyDescent="0.25">
      <c r="A16" s="13" t="s">
        <v>69</v>
      </c>
      <c r="B16" s="14">
        <f>IFERROR(COUNTIFS(中間データ!$D:$D,$A16,中間データ!$P:$P,"&gt;="&amp;DATE(2025,8,1),中間データ!$P:$P,"&lt;="&amp;DATE(2025,10,31)),"")</f>
        <v>6</v>
      </c>
      <c r="C16" s="15">
        <f>IFERROR(AVERAGEIFS(中間データ!$F:$F,中間データ!$D:$D,$A16,中間データ!$P:$P,"&gt;="&amp;DATE(2025,8,1),中間データ!$P:$P,"&lt;="&amp;DATE(2025,10,31)),"")</f>
        <v>3.5</v>
      </c>
      <c r="D16" s="16">
        <f>IFERROR(AVERAGEIFS(中間データ!$H:$H,中間データ!$D:$D,$A16,中間データ!$P:$P,"&gt;="&amp;DATE(2025,8,1),中間データ!$P:$P,"&lt;="&amp;DATE(2025,10,31)),"")</f>
        <v>3.3333333333333335</v>
      </c>
      <c r="E16" s="16">
        <f>IFERROR(AVERAGEIFS(中間データ!$G:$G,中間データ!$D:$D,$A16,中間データ!$P:$P,"&gt;="&amp;DATE(2025,8,1),中間データ!$P:$P,"&lt;="&amp;DATE(2025,10,31)),"")</f>
        <v>3.5</v>
      </c>
      <c r="F16" s="16">
        <f>IFERROR(AVERAGEIFS(中間データ!$K:$K,中間データ!$D:$D,$A16,中間データ!$P:$P,"&gt;="&amp;DATE(2025,8,1),中間データ!$P:$P,"&lt;="&amp;DATE(2025,10,31)),"")</f>
        <v>3.5</v>
      </c>
      <c r="G16" s="16">
        <f>IFERROR(AVERAGEIFS(中間データ!$J:$J,中間データ!$D:$D,$A16,中間データ!$P:$P,"&gt;="&amp;DATE(2025,8,1),中間データ!$P:$P,"&lt;="&amp;DATE(2025,10,31)),"")</f>
        <v>3.1666666666666665</v>
      </c>
    </row>
    <row r="17" spans="1:7" ht="13.2" x14ac:dyDescent="0.25">
      <c r="A17" s="13" t="s">
        <v>111</v>
      </c>
      <c r="B17" s="14">
        <f>IFERROR(COUNTIFS(中間データ!$D:$D,$A17,中間データ!$P:$P,"&gt;="&amp;DATE(2025,8,1),中間データ!$P:$P,"&lt;="&amp;DATE(2025,10,31)),"")</f>
        <v>10</v>
      </c>
      <c r="C17" s="15">
        <f>IFERROR(AVERAGEIFS(中間データ!$F:$F,中間データ!$D:$D,$A17,中間データ!$P:$P,"&gt;="&amp;DATE(2025,8,1),中間データ!$P:$P,"&lt;="&amp;DATE(2025,10,31)),"")</f>
        <v>3.3</v>
      </c>
      <c r="D17" s="16">
        <f>IFERROR(AVERAGEIFS(中間データ!$H:$H,中間データ!$D:$D,$A17,中間データ!$P:$P,"&gt;="&amp;DATE(2025,8,1),中間データ!$P:$P,"&lt;="&amp;DATE(2025,10,31)),"")</f>
        <v>3.6</v>
      </c>
      <c r="E17" s="16">
        <f>IFERROR(AVERAGEIFS(中間データ!$G:$G,中間データ!$D:$D,$A17,中間データ!$P:$P,"&gt;="&amp;DATE(2025,8,1),中間データ!$P:$P,"&lt;="&amp;DATE(2025,10,31)),"")</f>
        <v>3.6</v>
      </c>
      <c r="F17" s="16">
        <f>IFERROR(AVERAGEIFS(中間データ!$K:$K,中間データ!$D:$D,$A17,中間データ!$P:$P,"&gt;="&amp;DATE(2025,8,1),中間データ!$P:$P,"&lt;="&amp;DATE(2025,10,31)),"")</f>
        <v>3.1</v>
      </c>
      <c r="G17" s="16">
        <f>IFERROR(AVERAGEIFS(中間データ!$J:$J,中間データ!$D:$D,$A17,中間データ!$P:$P,"&gt;="&amp;DATE(2025,8,1),中間データ!$P:$P,"&lt;="&amp;DATE(2025,10,31)),"")</f>
        <v>2.5</v>
      </c>
    </row>
    <row r="18" spans="1:7" ht="13.2" x14ac:dyDescent="0.25">
      <c r="A18" s="13"/>
      <c r="B18" s="15"/>
      <c r="C18" s="15">
        <f>IFERROR(AVERAGEIFS(中間データ!$F:$F, 中間データ!$D:$D, $A18), "")</f>
        <v>0</v>
      </c>
      <c r="D18" s="16">
        <f>IFERROR(AVERAGEIFS(中間データ!$H:$H, 中間データ!$D:$D, $A18), "")</f>
        <v>0</v>
      </c>
      <c r="E18" s="16">
        <f>IFERROR(AVERAGEIFS(中間データ!$G:$G, 中間データ!$D:$D, $A18), "")</f>
        <v>0</v>
      </c>
      <c r="F18" s="16">
        <f>IFERROR(AVERAGEIFS(中間データ!$K:$K, 中間データ!$D:$D, $A18), "")</f>
        <v>0</v>
      </c>
      <c r="G18" s="16">
        <f>IFERROR(AVERAGEIFS(中間データ!$J:$J, 中間データ!$D:$D, $A18), "")</f>
        <v>0</v>
      </c>
    </row>
    <row r="19" spans="1:7" ht="13.2" x14ac:dyDescent="0.25">
      <c r="A19" s="13"/>
      <c r="B19" s="15"/>
      <c r="C19" s="15">
        <f>IFERROR(AVERAGEIFS(中間データ!$F:$F, 中間データ!$D:$D, $A19), "")</f>
        <v>0</v>
      </c>
      <c r="D19" s="16">
        <f>IFERROR(AVERAGEIFS(中間データ!$H:$H, 中間データ!$D:$D, $A19), "")</f>
        <v>0</v>
      </c>
      <c r="E19" s="16">
        <f>IFERROR(AVERAGEIFS(中間データ!$G:$G, 中間データ!$D:$D, $A19), "")</f>
        <v>0</v>
      </c>
      <c r="F19" s="16">
        <f>IFERROR(AVERAGEIFS(中間データ!$K:$K, 中間データ!$D:$D, $A19), "")</f>
        <v>0</v>
      </c>
      <c r="G19" s="16">
        <f>IFERROR(AVERAGEIFS(中間データ!$J:$J, 中間データ!$D:$D, $A19), "")</f>
        <v>0</v>
      </c>
    </row>
    <row r="20" spans="1:7" ht="13.2" x14ac:dyDescent="0.25">
      <c r="A20" s="13"/>
      <c r="B20" s="15"/>
      <c r="C20" s="15">
        <f>IFERROR(AVERAGEIFS(中間データ!$F:$F, 中間データ!$D:$D, $A20), "")</f>
        <v>0</v>
      </c>
      <c r="D20" s="16">
        <f>IFERROR(AVERAGEIFS(中間データ!$H:$H, 中間データ!$D:$D, $A20), "")</f>
        <v>0</v>
      </c>
      <c r="E20" s="16">
        <f>IFERROR(AVERAGEIFS(中間データ!$G:$G, 中間データ!$D:$D, $A20), "")</f>
        <v>0</v>
      </c>
      <c r="F20" s="16">
        <f>IFERROR(AVERAGEIFS(中間データ!$K:$K, 中間データ!$D:$D, $A20), "")</f>
        <v>0</v>
      </c>
      <c r="G20" s="16">
        <f>IFERROR(AVERAGEIFS(中間データ!$J:$J, 中間データ!$D:$D, $A20), "")</f>
        <v>0</v>
      </c>
    </row>
    <row r="21" spans="1:7" ht="13.2" x14ac:dyDescent="0.25">
      <c r="A21" s="13"/>
      <c r="B21" s="15"/>
      <c r="C21" s="15">
        <f>IFERROR(AVERAGEIFS(中間データ!$F:$F, 中間データ!$D:$D, $A21), "")</f>
        <v>0</v>
      </c>
      <c r="D21" s="16">
        <f>IFERROR(AVERAGEIFS(中間データ!$H:$H, 中間データ!$D:$D, $A21), "")</f>
        <v>0</v>
      </c>
      <c r="E21" s="16">
        <f>IFERROR(AVERAGEIFS(中間データ!$G:$G, 中間データ!$D:$D, $A21), "")</f>
        <v>0</v>
      </c>
      <c r="F21" s="16">
        <f>IFERROR(AVERAGEIFS(中間データ!$K:$K, 中間データ!$D:$D, $A21), "")</f>
        <v>0</v>
      </c>
      <c r="G21" s="16">
        <f>IFERROR(AVERAGEIFS(中間データ!$J:$J, 中間データ!$D:$D, $A21), "")</f>
        <v>0</v>
      </c>
    </row>
    <row r="22" spans="1:7" ht="13.2" x14ac:dyDescent="0.25">
      <c r="A22" s="13"/>
      <c r="B22" s="15"/>
      <c r="C22" s="15">
        <f>IFERROR(AVERAGEIFS(中間データ!$F:$F, 中間データ!$D:$D, $A22), "")</f>
        <v>0</v>
      </c>
      <c r="D22" s="16">
        <f>IFERROR(AVERAGEIFS(中間データ!$H:$H, 中間データ!$D:$D, $A22), "")</f>
        <v>0</v>
      </c>
      <c r="E22" s="16">
        <f>IFERROR(AVERAGEIFS(中間データ!$G:$G, 中間データ!$D:$D, $A22), "")</f>
        <v>0</v>
      </c>
      <c r="F22" s="16">
        <f>IFERROR(AVERAGEIFS(中間データ!$K:$K, 中間データ!$D:$D, $A22), "")</f>
        <v>0</v>
      </c>
      <c r="G22" s="16">
        <f>IFERROR(AVERAGEIFS(中間データ!$J:$J, 中間データ!$D:$D, $A22), "")</f>
        <v>0</v>
      </c>
    </row>
    <row r="23" spans="1:7" ht="13.2" x14ac:dyDescent="0.25">
      <c r="A23" s="13"/>
      <c r="B23" s="15"/>
      <c r="C23" s="15">
        <f>IFERROR(AVERAGEIFS(中間データ!$F:$F, 中間データ!$D:$D, $A23), "")</f>
        <v>0</v>
      </c>
      <c r="D23" s="16">
        <f>IFERROR(AVERAGEIFS(中間データ!$H:$H, 中間データ!$D:$D, $A23), "")</f>
        <v>0</v>
      </c>
      <c r="E23" s="16">
        <f>IFERROR(AVERAGEIFS(中間データ!$G:$G, 中間データ!$D:$D, $A23), "")</f>
        <v>0</v>
      </c>
      <c r="F23" s="16">
        <f>IFERROR(AVERAGEIFS(中間データ!$K:$K, 中間データ!$D:$D, $A23), "")</f>
        <v>0</v>
      </c>
      <c r="G23" s="16">
        <f>IFERROR(AVERAGEIFS(中間データ!$J:$J, 中間データ!$D:$D, $A23), "")</f>
        <v>0</v>
      </c>
    </row>
    <row r="24" spans="1:7" ht="13.2" x14ac:dyDescent="0.25">
      <c r="A24" s="17"/>
      <c r="B24" s="17"/>
      <c r="C24" s="17"/>
      <c r="D24" s="17"/>
      <c r="E24" s="17"/>
      <c r="F24" s="17"/>
      <c r="G24" s="17"/>
    </row>
    <row r="25" spans="1:7" ht="13.2" x14ac:dyDescent="0.25">
      <c r="B25" s="17"/>
      <c r="C25" s="17"/>
      <c r="D25" s="17"/>
      <c r="E25" s="17"/>
      <c r="F25" s="17"/>
      <c r="G25" s="17"/>
    </row>
    <row r="26" spans="1:7" ht="13.2" x14ac:dyDescent="0.25">
      <c r="B26" s="17"/>
      <c r="C26" s="17"/>
      <c r="D26" s="17"/>
      <c r="E26" s="17"/>
      <c r="F26" s="17"/>
      <c r="G26" s="17"/>
    </row>
    <row r="27" spans="1:7" ht="13.2" x14ac:dyDescent="0.25">
      <c r="B27" s="17"/>
      <c r="C27" s="17"/>
      <c r="D27" s="17"/>
      <c r="E27" s="17"/>
      <c r="F27" s="17"/>
      <c r="G27" s="17"/>
    </row>
    <row r="28" spans="1:7" ht="13.2" x14ac:dyDescent="0.25">
      <c r="B28" s="17"/>
      <c r="C28" s="17"/>
      <c r="D28" s="17"/>
      <c r="E28" s="17"/>
      <c r="F28" s="17"/>
      <c r="G28" s="17"/>
    </row>
    <row r="29" spans="1:7" ht="13.2" x14ac:dyDescent="0.25">
      <c r="B29" s="17"/>
      <c r="C29" s="17"/>
      <c r="D29" s="17"/>
      <c r="E29" s="17"/>
      <c r="F29" s="17"/>
      <c r="G29" s="17"/>
    </row>
    <row r="30" spans="1:7" ht="13.2" x14ac:dyDescent="0.25">
      <c r="B30" s="17"/>
      <c r="C30" s="17"/>
      <c r="D30" s="17"/>
      <c r="E30" s="17"/>
      <c r="F30" s="17"/>
      <c r="G30" s="17"/>
    </row>
    <row r="31" spans="1:7" ht="13.2" x14ac:dyDescent="0.25">
      <c r="B31" s="17"/>
      <c r="C31" s="17"/>
      <c r="D31" s="17"/>
      <c r="E31" s="17"/>
      <c r="F31" s="17"/>
      <c r="G31" s="17"/>
    </row>
    <row r="32" spans="1:7" ht="13.2" x14ac:dyDescent="0.25">
      <c r="B32" s="17"/>
      <c r="C32" s="17"/>
      <c r="D32" s="17"/>
      <c r="E32" s="17"/>
      <c r="F32" s="17"/>
      <c r="G32" s="17"/>
    </row>
    <row r="33" spans="2:7" ht="13.2" x14ac:dyDescent="0.25">
      <c r="B33" s="17"/>
      <c r="C33" s="17"/>
      <c r="D33" s="17"/>
      <c r="E33" s="17"/>
      <c r="F33" s="17"/>
      <c r="G33" s="17"/>
    </row>
    <row r="34" spans="2:7" ht="13.2" x14ac:dyDescent="0.25">
      <c r="B34" s="17"/>
      <c r="C34" s="17"/>
      <c r="D34" s="17"/>
      <c r="E34" s="17"/>
      <c r="F34" s="17"/>
      <c r="G34" s="17"/>
    </row>
    <row r="35" spans="2:7" ht="13.2" x14ac:dyDescent="0.25">
      <c r="B35" s="17"/>
      <c r="C35" s="17"/>
      <c r="D35" s="17"/>
      <c r="E35" s="17"/>
      <c r="F35" s="17"/>
      <c r="G35" s="17"/>
    </row>
    <row r="36" spans="2:7" ht="13.2" x14ac:dyDescent="0.25">
      <c r="B36" s="17"/>
      <c r="C36" s="17"/>
      <c r="D36" s="17"/>
      <c r="E36" s="17"/>
      <c r="F36" s="17"/>
      <c r="G36" s="17"/>
    </row>
    <row r="37" spans="2:7" ht="13.2" x14ac:dyDescent="0.25">
      <c r="B37" s="17"/>
      <c r="C37" s="17"/>
      <c r="D37" s="17"/>
      <c r="E37" s="17"/>
      <c r="F37" s="17"/>
      <c r="G37" s="17"/>
    </row>
    <row r="38" spans="2:7" ht="13.2" x14ac:dyDescent="0.25">
      <c r="B38" s="17"/>
      <c r="C38" s="17"/>
      <c r="D38" s="17"/>
      <c r="E38" s="17"/>
      <c r="F38" s="17"/>
      <c r="G38" s="17"/>
    </row>
    <row r="39" spans="2:7" ht="13.2" x14ac:dyDescent="0.25">
      <c r="B39" s="17"/>
      <c r="C39" s="17"/>
      <c r="D39" s="17"/>
      <c r="E39" s="17"/>
      <c r="F39" s="17"/>
      <c r="G39" s="17"/>
    </row>
    <row r="40" spans="2:7" ht="13.2" x14ac:dyDescent="0.25">
      <c r="B40" s="17"/>
      <c r="C40" s="17"/>
      <c r="D40" s="17"/>
      <c r="E40" s="17"/>
      <c r="F40" s="17"/>
      <c r="G40" s="17"/>
    </row>
    <row r="41" spans="2:7" ht="13.2" x14ac:dyDescent="0.25">
      <c r="B41" s="17"/>
      <c r="C41" s="17"/>
      <c r="D41" s="17"/>
      <c r="E41" s="17"/>
      <c r="F41" s="17"/>
      <c r="G41" s="17"/>
    </row>
    <row r="42" spans="2:7" ht="13.2" x14ac:dyDescent="0.25">
      <c r="B42" s="17"/>
      <c r="C42" s="17"/>
      <c r="D42" s="17"/>
      <c r="E42" s="17"/>
      <c r="F42" s="17"/>
      <c r="G42" s="17"/>
    </row>
    <row r="43" spans="2:7" ht="13.2" x14ac:dyDescent="0.25">
      <c r="B43" s="17"/>
      <c r="C43" s="17"/>
      <c r="D43" s="17"/>
      <c r="E43" s="17"/>
      <c r="F43" s="17"/>
      <c r="G43" s="17"/>
    </row>
    <row r="44" spans="2:7" ht="13.2" x14ac:dyDescent="0.25">
      <c r="B44" s="17"/>
      <c r="C44" s="17"/>
      <c r="D44" s="17"/>
      <c r="E44" s="17"/>
      <c r="F44" s="17"/>
      <c r="G44" s="17"/>
    </row>
    <row r="45" spans="2:7" ht="13.2" x14ac:dyDescent="0.25">
      <c r="B45" s="17"/>
      <c r="C45" s="17"/>
      <c r="D45" s="17"/>
      <c r="E45" s="17"/>
      <c r="F45" s="17"/>
      <c r="G45" s="17"/>
    </row>
    <row r="46" spans="2:7" ht="13.2" x14ac:dyDescent="0.25">
      <c r="B46" s="17"/>
      <c r="C46" s="17"/>
      <c r="D46" s="17"/>
      <c r="E46" s="17"/>
      <c r="F46" s="17"/>
      <c r="G46" s="17"/>
    </row>
    <row r="47" spans="2:7" ht="13.2" x14ac:dyDescent="0.25">
      <c r="B47" s="17"/>
      <c r="C47" s="17"/>
      <c r="D47" s="17"/>
      <c r="E47" s="17"/>
      <c r="F47" s="17"/>
      <c r="G47" s="17"/>
    </row>
    <row r="48" spans="2:7" ht="13.2" x14ac:dyDescent="0.25">
      <c r="B48" s="17"/>
      <c r="C48" s="17"/>
      <c r="D48" s="17"/>
      <c r="E48" s="17"/>
      <c r="F48" s="17"/>
      <c r="G48" s="17"/>
    </row>
    <row r="49" spans="2:7" ht="13.2" x14ac:dyDescent="0.25">
      <c r="B49" s="17"/>
      <c r="C49" s="17"/>
      <c r="D49" s="17"/>
      <c r="E49" s="17"/>
      <c r="F49" s="17"/>
      <c r="G49" s="17"/>
    </row>
    <row r="50" spans="2:7" ht="13.2" x14ac:dyDescent="0.25">
      <c r="B50" s="17"/>
      <c r="C50" s="17"/>
      <c r="D50" s="17"/>
      <c r="E50" s="17"/>
      <c r="F50" s="17"/>
      <c r="G50" s="17"/>
    </row>
    <row r="51" spans="2:7" ht="13.2" x14ac:dyDescent="0.25">
      <c r="B51" s="17"/>
      <c r="C51" s="17"/>
      <c r="D51" s="17"/>
      <c r="E51" s="17"/>
      <c r="F51" s="17"/>
      <c r="G51" s="17"/>
    </row>
    <row r="52" spans="2:7" ht="13.2" x14ac:dyDescent="0.25">
      <c r="B52" s="17"/>
      <c r="C52" s="17"/>
      <c r="D52" s="17"/>
      <c r="E52" s="17"/>
      <c r="F52" s="17"/>
      <c r="G52" s="17"/>
    </row>
    <row r="53" spans="2:7" ht="13.2" x14ac:dyDescent="0.25">
      <c r="B53" s="17"/>
      <c r="C53" s="17"/>
      <c r="D53" s="17"/>
      <c r="E53" s="17"/>
      <c r="F53" s="17"/>
      <c r="G53" s="17"/>
    </row>
    <row r="54" spans="2:7" ht="13.2" x14ac:dyDescent="0.25">
      <c r="B54" s="17"/>
      <c r="C54" s="17"/>
      <c r="D54" s="17"/>
      <c r="E54" s="17"/>
      <c r="F54" s="17"/>
      <c r="G54" s="17"/>
    </row>
    <row r="55" spans="2:7" ht="13.2" x14ac:dyDescent="0.25">
      <c r="B55" s="17"/>
      <c r="C55" s="17"/>
      <c r="D55" s="17"/>
      <c r="E55" s="17"/>
      <c r="F55" s="17"/>
      <c r="G55" s="17"/>
    </row>
    <row r="56" spans="2:7" ht="13.2" x14ac:dyDescent="0.25">
      <c r="B56" s="17"/>
      <c r="C56" s="17"/>
      <c r="D56" s="17"/>
      <c r="E56" s="17"/>
      <c r="F56" s="17"/>
      <c r="G56" s="17"/>
    </row>
    <row r="57" spans="2:7" ht="13.2" x14ac:dyDescent="0.25">
      <c r="B57" s="17"/>
      <c r="C57" s="17"/>
      <c r="D57" s="17"/>
      <c r="E57" s="17"/>
      <c r="F57" s="17"/>
      <c r="G57" s="17"/>
    </row>
    <row r="58" spans="2:7" ht="13.2" x14ac:dyDescent="0.25">
      <c r="B58" s="17"/>
      <c r="C58" s="17"/>
      <c r="D58" s="17"/>
      <c r="E58" s="17"/>
      <c r="F58" s="17"/>
      <c r="G58" s="17"/>
    </row>
    <row r="59" spans="2:7" ht="13.2" x14ac:dyDescent="0.25">
      <c r="B59" s="17"/>
      <c r="C59" s="17"/>
      <c r="D59" s="17"/>
      <c r="E59" s="17"/>
      <c r="F59" s="17"/>
      <c r="G59" s="17"/>
    </row>
    <row r="60" spans="2:7" ht="13.2" x14ac:dyDescent="0.25">
      <c r="B60" s="17"/>
      <c r="C60" s="17"/>
      <c r="D60" s="17"/>
      <c r="E60" s="17"/>
      <c r="F60" s="17"/>
      <c r="G60" s="17"/>
    </row>
    <row r="61" spans="2:7" ht="13.2" x14ac:dyDescent="0.25">
      <c r="B61" s="17"/>
      <c r="C61" s="17"/>
      <c r="D61" s="17"/>
      <c r="E61" s="17"/>
      <c r="F61" s="17"/>
      <c r="G61" s="17"/>
    </row>
    <row r="62" spans="2:7" ht="13.2" x14ac:dyDescent="0.25">
      <c r="B62" s="17"/>
      <c r="C62" s="17"/>
      <c r="D62" s="17"/>
      <c r="E62" s="17"/>
      <c r="F62" s="17"/>
      <c r="G62" s="17"/>
    </row>
    <row r="63" spans="2:7" ht="13.2" x14ac:dyDescent="0.25">
      <c r="B63" s="17"/>
      <c r="C63" s="17"/>
      <c r="D63" s="17"/>
      <c r="E63" s="17"/>
      <c r="F63" s="17"/>
      <c r="G63" s="17"/>
    </row>
    <row r="64" spans="2:7" ht="13.2" x14ac:dyDescent="0.25">
      <c r="B64" s="17"/>
      <c r="C64" s="17"/>
      <c r="D64" s="17"/>
      <c r="E64" s="17"/>
      <c r="F64" s="17"/>
      <c r="G64" s="17"/>
    </row>
    <row r="65" spans="2:7" ht="13.2" x14ac:dyDescent="0.25">
      <c r="B65" s="17"/>
      <c r="C65" s="17"/>
      <c r="D65" s="17"/>
      <c r="E65" s="17"/>
      <c r="F65" s="17"/>
      <c r="G65" s="17"/>
    </row>
    <row r="66" spans="2:7" ht="13.2" x14ac:dyDescent="0.25">
      <c r="B66" s="17"/>
      <c r="C66" s="17"/>
      <c r="D66" s="17"/>
      <c r="E66" s="17"/>
      <c r="F66" s="17"/>
      <c r="G66" s="17"/>
    </row>
    <row r="67" spans="2:7" ht="13.2" x14ac:dyDescent="0.25">
      <c r="B67" s="17"/>
      <c r="C67" s="17"/>
      <c r="D67" s="17"/>
      <c r="E67" s="17"/>
      <c r="F67" s="17"/>
      <c r="G67" s="17"/>
    </row>
    <row r="68" spans="2:7" ht="13.2" x14ac:dyDescent="0.25">
      <c r="B68" s="17"/>
      <c r="C68" s="17"/>
      <c r="D68" s="17"/>
      <c r="E68" s="17"/>
      <c r="F68" s="17"/>
      <c r="G68" s="17"/>
    </row>
    <row r="69" spans="2:7" ht="13.2" x14ac:dyDescent="0.25">
      <c r="B69" s="17"/>
      <c r="C69" s="17"/>
      <c r="D69" s="17"/>
      <c r="E69" s="17"/>
      <c r="F69" s="17"/>
      <c r="G69" s="17"/>
    </row>
    <row r="70" spans="2:7" ht="13.2" x14ac:dyDescent="0.25">
      <c r="B70" s="17"/>
      <c r="C70" s="17"/>
      <c r="D70" s="17"/>
      <c r="E70" s="17"/>
      <c r="F70" s="17"/>
      <c r="G70" s="17"/>
    </row>
    <row r="71" spans="2:7" ht="13.2" x14ac:dyDescent="0.25">
      <c r="B71" s="17"/>
      <c r="C71" s="17"/>
      <c r="D71" s="17"/>
      <c r="E71" s="17"/>
      <c r="F71" s="17"/>
      <c r="G71" s="17"/>
    </row>
    <row r="72" spans="2:7" ht="13.2" x14ac:dyDescent="0.25">
      <c r="B72" s="17"/>
      <c r="C72" s="17"/>
      <c r="D72" s="17"/>
      <c r="E72" s="17"/>
      <c r="F72" s="17"/>
      <c r="G72" s="17"/>
    </row>
    <row r="73" spans="2:7" ht="13.2" x14ac:dyDescent="0.25">
      <c r="B73" s="17"/>
      <c r="C73" s="17"/>
      <c r="D73" s="17"/>
      <c r="E73" s="17"/>
      <c r="F73" s="17"/>
      <c r="G73" s="17"/>
    </row>
    <row r="74" spans="2:7" ht="13.2" x14ac:dyDescent="0.25">
      <c r="B74" s="17"/>
      <c r="C74" s="17"/>
      <c r="D74" s="17"/>
      <c r="E74" s="17"/>
      <c r="F74" s="17"/>
      <c r="G74" s="17"/>
    </row>
    <row r="75" spans="2:7" ht="13.2" x14ac:dyDescent="0.25">
      <c r="B75" s="17"/>
      <c r="C75" s="17"/>
      <c r="D75" s="17"/>
      <c r="E75" s="17"/>
      <c r="F75" s="17"/>
      <c r="G75" s="17"/>
    </row>
    <row r="76" spans="2:7" ht="13.2" x14ac:dyDescent="0.25">
      <c r="B76" s="17"/>
      <c r="C76" s="17"/>
      <c r="D76" s="17"/>
      <c r="E76" s="17"/>
      <c r="F76" s="17"/>
      <c r="G76" s="17"/>
    </row>
    <row r="77" spans="2:7" ht="13.2" x14ac:dyDescent="0.25">
      <c r="B77" s="17"/>
      <c r="C77" s="17"/>
      <c r="D77" s="17"/>
      <c r="E77" s="17"/>
      <c r="F77" s="17"/>
      <c r="G77" s="17"/>
    </row>
    <row r="78" spans="2:7" ht="13.2" x14ac:dyDescent="0.25">
      <c r="B78" s="17"/>
      <c r="C78" s="17"/>
      <c r="D78" s="17"/>
      <c r="E78" s="17"/>
      <c r="F78" s="17"/>
      <c r="G78" s="17"/>
    </row>
    <row r="79" spans="2:7" ht="13.2" x14ac:dyDescent="0.25">
      <c r="B79" s="17"/>
      <c r="C79" s="17"/>
      <c r="D79" s="17"/>
      <c r="E79" s="17"/>
      <c r="F79" s="17"/>
      <c r="G79" s="17"/>
    </row>
    <row r="80" spans="2:7" ht="13.2" x14ac:dyDescent="0.25">
      <c r="B80" s="17"/>
      <c r="C80" s="17"/>
      <c r="D80" s="17"/>
      <c r="E80" s="17"/>
      <c r="F80" s="17"/>
      <c r="G80" s="17"/>
    </row>
    <row r="81" spans="2:7" ht="13.2" x14ac:dyDescent="0.25">
      <c r="B81" s="17"/>
      <c r="C81" s="17"/>
      <c r="D81" s="17"/>
      <c r="E81" s="17"/>
      <c r="F81" s="17"/>
      <c r="G81" s="17"/>
    </row>
    <row r="82" spans="2:7" ht="13.2" x14ac:dyDescent="0.25">
      <c r="B82" s="17"/>
      <c r="C82" s="17"/>
      <c r="D82" s="17"/>
      <c r="E82" s="17"/>
      <c r="F82" s="17"/>
      <c r="G82" s="17"/>
    </row>
    <row r="83" spans="2:7" ht="13.2" x14ac:dyDescent="0.25">
      <c r="B83" s="17"/>
      <c r="C83" s="17"/>
      <c r="D83" s="17"/>
      <c r="E83" s="17"/>
      <c r="F83" s="17"/>
      <c r="G83" s="17"/>
    </row>
    <row r="84" spans="2:7" ht="13.2" x14ac:dyDescent="0.25">
      <c r="B84" s="17"/>
      <c r="C84" s="17"/>
      <c r="D84" s="17"/>
      <c r="E84" s="17"/>
      <c r="F84" s="17"/>
      <c r="G84" s="17"/>
    </row>
    <row r="85" spans="2:7" ht="13.2" x14ac:dyDescent="0.25">
      <c r="B85" s="17"/>
      <c r="C85" s="17"/>
      <c r="D85" s="17"/>
      <c r="E85" s="17"/>
      <c r="F85" s="17"/>
      <c r="G85" s="17"/>
    </row>
    <row r="86" spans="2:7" ht="13.2" x14ac:dyDescent="0.25">
      <c r="B86" s="17"/>
      <c r="C86" s="17"/>
      <c r="D86" s="17"/>
      <c r="E86" s="17"/>
      <c r="F86" s="17"/>
      <c r="G86" s="17"/>
    </row>
    <row r="87" spans="2:7" ht="13.2" x14ac:dyDescent="0.25">
      <c r="B87" s="17"/>
      <c r="C87" s="17"/>
      <c r="D87" s="17"/>
      <c r="E87" s="17"/>
      <c r="F87" s="17"/>
      <c r="G87" s="17"/>
    </row>
    <row r="88" spans="2:7" ht="13.2" x14ac:dyDescent="0.25">
      <c r="B88" s="17"/>
      <c r="C88" s="17"/>
      <c r="D88" s="17"/>
      <c r="E88" s="17"/>
      <c r="F88" s="17"/>
      <c r="G88" s="17"/>
    </row>
    <row r="89" spans="2:7" ht="13.2" x14ac:dyDescent="0.25">
      <c r="B89" s="17"/>
      <c r="C89" s="17"/>
      <c r="D89" s="17"/>
      <c r="E89" s="17"/>
      <c r="F89" s="17"/>
      <c r="G89" s="17"/>
    </row>
    <row r="90" spans="2:7" ht="13.2" x14ac:dyDescent="0.25">
      <c r="B90" s="17"/>
      <c r="C90" s="17"/>
      <c r="D90" s="17"/>
      <c r="E90" s="17"/>
      <c r="F90" s="17"/>
      <c r="G90" s="17"/>
    </row>
    <row r="91" spans="2:7" ht="13.2" x14ac:dyDescent="0.25">
      <c r="B91" s="17"/>
      <c r="C91" s="17"/>
      <c r="D91" s="17"/>
      <c r="E91" s="17"/>
      <c r="F91" s="17"/>
      <c r="G91" s="17"/>
    </row>
    <row r="92" spans="2:7" ht="13.2" x14ac:dyDescent="0.25">
      <c r="B92" s="17"/>
      <c r="C92" s="17"/>
      <c r="D92" s="17"/>
      <c r="E92" s="17"/>
      <c r="F92" s="17"/>
      <c r="G92" s="17"/>
    </row>
    <row r="93" spans="2:7" ht="13.2" x14ac:dyDescent="0.25">
      <c r="B93" s="17"/>
      <c r="C93" s="17"/>
      <c r="D93" s="17"/>
      <c r="E93" s="17"/>
      <c r="F93" s="17"/>
      <c r="G93" s="17"/>
    </row>
    <row r="94" spans="2:7" ht="13.2" x14ac:dyDescent="0.25">
      <c r="B94" s="17"/>
      <c r="C94" s="17"/>
      <c r="D94" s="17"/>
      <c r="E94" s="17"/>
      <c r="F94" s="17"/>
      <c r="G94" s="17"/>
    </row>
    <row r="95" spans="2:7" ht="13.2" x14ac:dyDescent="0.25">
      <c r="B95" s="17"/>
      <c r="C95" s="17"/>
      <c r="D95" s="17"/>
      <c r="E95" s="17"/>
      <c r="F95" s="17"/>
      <c r="G95" s="17"/>
    </row>
    <row r="96" spans="2:7" ht="13.2" x14ac:dyDescent="0.25">
      <c r="B96" s="17"/>
      <c r="C96" s="17"/>
      <c r="D96" s="17"/>
      <c r="E96" s="17"/>
      <c r="F96" s="17"/>
      <c r="G96" s="17"/>
    </row>
    <row r="97" spans="2:7" ht="13.2" x14ac:dyDescent="0.25">
      <c r="B97" s="17"/>
      <c r="C97" s="17"/>
      <c r="D97" s="17"/>
      <c r="E97" s="17"/>
      <c r="F97" s="17"/>
      <c r="G97" s="17"/>
    </row>
    <row r="98" spans="2:7" ht="13.2" x14ac:dyDescent="0.25">
      <c r="B98" s="17"/>
      <c r="C98" s="17"/>
      <c r="D98" s="17"/>
      <c r="E98" s="17"/>
      <c r="F98" s="17"/>
      <c r="G98" s="17"/>
    </row>
    <row r="99" spans="2:7" ht="13.2" x14ac:dyDescent="0.25">
      <c r="B99" s="17"/>
      <c r="C99" s="17"/>
      <c r="D99" s="17"/>
      <c r="E99" s="17"/>
      <c r="F99" s="17"/>
      <c r="G99" s="17"/>
    </row>
    <row r="100" spans="2:7" ht="13.2" x14ac:dyDescent="0.25">
      <c r="B100" s="17"/>
      <c r="C100" s="17"/>
      <c r="D100" s="17"/>
      <c r="E100" s="17"/>
      <c r="F100" s="17"/>
      <c r="G100" s="17"/>
    </row>
    <row r="101" spans="2:7" ht="13.2" x14ac:dyDescent="0.25">
      <c r="B101" s="17"/>
      <c r="C101" s="17"/>
      <c r="D101" s="17"/>
      <c r="E101" s="17"/>
      <c r="F101" s="17"/>
      <c r="G101" s="17"/>
    </row>
    <row r="102" spans="2:7" ht="13.2" x14ac:dyDescent="0.25">
      <c r="B102" s="17"/>
      <c r="C102" s="17"/>
      <c r="D102" s="17"/>
      <c r="E102" s="17"/>
      <c r="F102" s="17"/>
      <c r="G102" s="17"/>
    </row>
    <row r="103" spans="2:7" ht="13.2" x14ac:dyDescent="0.25">
      <c r="B103" s="17"/>
      <c r="C103" s="17"/>
      <c r="D103" s="17"/>
      <c r="E103" s="17"/>
      <c r="F103" s="17"/>
      <c r="G103" s="17"/>
    </row>
    <row r="104" spans="2:7" ht="13.2" x14ac:dyDescent="0.25">
      <c r="B104" s="17"/>
      <c r="C104" s="17"/>
      <c r="D104" s="17"/>
      <c r="E104" s="17"/>
      <c r="F104" s="17"/>
      <c r="G104" s="17"/>
    </row>
    <row r="105" spans="2:7" ht="13.2" x14ac:dyDescent="0.25">
      <c r="B105" s="17"/>
      <c r="C105" s="17"/>
      <c r="D105" s="17"/>
      <c r="E105" s="17"/>
      <c r="F105" s="17"/>
      <c r="G105" s="17"/>
    </row>
    <row r="106" spans="2:7" ht="13.2" x14ac:dyDescent="0.25">
      <c r="B106" s="17"/>
      <c r="C106" s="17"/>
      <c r="D106" s="17"/>
      <c r="E106" s="17"/>
      <c r="F106" s="17"/>
      <c r="G106" s="17"/>
    </row>
    <row r="107" spans="2:7" ht="13.2" x14ac:dyDescent="0.25">
      <c r="B107" s="17"/>
      <c r="C107" s="17"/>
      <c r="D107" s="17"/>
      <c r="E107" s="17"/>
      <c r="F107" s="17"/>
      <c r="G107" s="17"/>
    </row>
    <row r="108" spans="2:7" ht="13.2" x14ac:dyDescent="0.25">
      <c r="B108" s="17"/>
      <c r="C108" s="17"/>
      <c r="D108" s="17"/>
      <c r="E108" s="17"/>
      <c r="F108" s="17"/>
      <c r="G108" s="17"/>
    </row>
    <row r="109" spans="2:7" ht="13.2" x14ac:dyDescent="0.25">
      <c r="B109" s="17"/>
      <c r="C109" s="17"/>
      <c r="D109" s="17"/>
      <c r="E109" s="17"/>
      <c r="F109" s="17"/>
      <c r="G109" s="17"/>
    </row>
    <row r="110" spans="2:7" ht="13.2" x14ac:dyDescent="0.25">
      <c r="B110" s="17"/>
      <c r="C110" s="17"/>
      <c r="D110" s="17"/>
      <c r="E110" s="17"/>
      <c r="F110" s="17"/>
      <c r="G110" s="17"/>
    </row>
    <row r="111" spans="2:7" ht="13.2" x14ac:dyDescent="0.25">
      <c r="B111" s="17"/>
      <c r="C111" s="17"/>
      <c r="D111" s="17"/>
      <c r="E111" s="17"/>
      <c r="F111" s="17"/>
      <c r="G111" s="17"/>
    </row>
    <row r="112" spans="2:7" ht="13.2" x14ac:dyDescent="0.25">
      <c r="B112" s="17"/>
      <c r="C112" s="17"/>
      <c r="D112" s="17"/>
      <c r="E112" s="17"/>
      <c r="F112" s="17"/>
      <c r="G112" s="17"/>
    </row>
    <row r="113" spans="2:7" ht="13.2" x14ac:dyDescent="0.25">
      <c r="B113" s="17"/>
      <c r="C113" s="17"/>
      <c r="D113" s="17"/>
      <c r="E113" s="17"/>
      <c r="F113" s="17"/>
      <c r="G113" s="17"/>
    </row>
    <row r="114" spans="2:7" ht="13.2" x14ac:dyDescent="0.25">
      <c r="B114" s="17"/>
      <c r="C114" s="17"/>
      <c r="D114" s="17"/>
      <c r="E114" s="17"/>
      <c r="F114" s="17"/>
      <c r="G114" s="17"/>
    </row>
    <row r="115" spans="2:7" ht="13.2" x14ac:dyDescent="0.25">
      <c r="B115" s="17"/>
      <c r="C115" s="17"/>
      <c r="D115" s="17"/>
      <c r="E115" s="17"/>
      <c r="F115" s="17"/>
      <c r="G115" s="17"/>
    </row>
    <row r="116" spans="2:7" ht="13.2" x14ac:dyDescent="0.25">
      <c r="B116" s="17"/>
      <c r="C116" s="17"/>
      <c r="D116" s="17"/>
      <c r="E116" s="17"/>
      <c r="F116" s="17"/>
      <c r="G116" s="17"/>
    </row>
    <row r="117" spans="2:7" ht="13.2" x14ac:dyDescent="0.25">
      <c r="B117" s="17"/>
      <c r="C117" s="17"/>
      <c r="D117" s="17"/>
      <c r="E117" s="17"/>
      <c r="F117" s="17"/>
      <c r="G117" s="17"/>
    </row>
    <row r="118" spans="2:7" ht="13.2" x14ac:dyDescent="0.25">
      <c r="B118" s="17"/>
      <c r="C118" s="17"/>
      <c r="D118" s="17"/>
      <c r="E118" s="17"/>
      <c r="F118" s="17"/>
      <c r="G118" s="17"/>
    </row>
    <row r="119" spans="2:7" ht="13.2" x14ac:dyDescent="0.25">
      <c r="B119" s="17"/>
      <c r="C119" s="17"/>
      <c r="D119" s="17"/>
      <c r="E119" s="17"/>
      <c r="F119" s="17"/>
      <c r="G119" s="17"/>
    </row>
    <row r="120" spans="2:7" ht="13.2" x14ac:dyDescent="0.25">
      <c r="B120" s="17"/>
      <c r="C120" s="17"/>
      <c r="D120" s="17"/>
      <c r="E120" s="17"/>
      <c r="F120" s="17"/>
      <c r="G120" s="17"/>
    </row>
    <row r="121" spans="2:7" ht="13.2" x14ac:dyDescent="0.25">
      <c r="B121" s="17"/>
      <c r="C121" s="17"/>
      <c r="D121" s="17"/>
      <c r="E121" s="17"/>
      <c r="F121" s="17"/>
      <c r="G121" s="17"/>
    </row>
    <row r="122" spans="2:7" ht="13.2" x14ac:dyDescent="0.25">
      <c r="B122" s="17"/>
      <c r="C122" s="17"/>
      <c r="D122" s="17"/>
      <c r="E122" s="17"/>
      <c r="F122" s="17"/>
      <c r="G122" s="17"/>
    </row>
    <row r="123" spans="2:7" ht="13.2" x14ac:dyDescent="0.25">
      <c r="B123" s="17"/>
      <c r="C123" s="17"/>
      <c r="D123" s="17"/>
      <c r="E123" s="17"/>
      <c r="F123" s="17"/>
      <c r="G123" s="17"/>
    </row>
    <row r="124" spans="2:7" ht="13.2" x14ac:dyDescent="0.25">
      <c r="B124" s="17"/>
      <c r="C124" s="17"/>
      <c r="D124" s="17"/>
      <c r="E124" s="17"/>
      <c r="F124" s="17"/>
      <c r="G124" s="17"/>
    </row>
    <row r="125" spans="2:7" ht="13.2" x14ac:dyDescent="0.25">
      <c r="B125" s="17"/>
      <c r="C125" s="17"/>
      <c r="D125" s="17"/>
      <c r="E125" s="17"/>
      <c r="F125" s="17"/>
      <c r="G125" s="17"/>
    </row>
    <row r="126" spans="2:7" ht="13.2" x14ac:dyDescent="0.25">
      <c r="B126" s="17"/>
      <c r="C126" s="17"/>
      <c r="D126" s="17"/>
      <c r="E126" s="17"/>
      <c r="F126" s="17"/>
      <c r="G126" s="17"/>
    </row>
    <row r="127" spans="2:7" ht="13.2" x14ac:dyDescent="0.25">
      <c r="B127" s="17"/>
      <c r="C127" s="17"/>
      <c r="D127" s="17"/>
      <c r="E127" s="17"/>
      <c r="F127" s="17"/>
      <c r="G127" s="17"/>
    </row>
    <row r="128" spans="2:7" ht="13.2" x14ac:dyDescent="0.25">
      <c r="B128" s="17"/>
      <c r="C128" s="17"/>
      <c r="D128" s="17"/>
      <c r="E128" s="17"/>
      <c r="F128" s="17"/>
      <c r="G128" s="17"/>
    </row>
    <row r="129" spans="2:7" ht="13.2" x14ac:dyDescent="0.25">
      <c r="B129" s="17"/>
      <c r="C129" s="17"/>
      <c r="D129" s="17"/>
      <c r="E129" s="17"/>
      <c r="F129" s="17"/>
      <c r="G129" s="17"/>
    </row>
    <row r="130" spans="2:7" ht="13.2" x14ac:dyDescent="0.25">
      <c r="B130" s="17"/>
      <c r="C130" s="17"/>
      <c r="D130" s="17"/>
      <c r="E130" s="17"/>
      <c r="F130" s="17"/>
      <c r="G130" s="17"/>
    </row>
    <row r="131" spans="2:7" ht="13.2" x14ac:dyDescent="0.25">
      <c r="B131" s="17"/>
      <c r="C131" s="17"/>
      <c r="D131" s="17"/>
      <c r="E131" s="17"/>
      <c r="F131" s="17"/>
      <c r="G131" s="17"/>
    </row>
    <row r="132" spans="2:7" ht="13.2" x14ac:dyDescent="0.25">
      <c r="B132" s="17"/>
      <c r="C132" s="17"/>
      <c r="D132" s="17"/>
      <c r="E132" s="17"/>
      <c r="F132" s="17"/>
      <c r="G132" s="17"/>
    </row>
    <row r="133" spans="2:7" ht="13.2" x14ac:dyDescent="0.25">
      <c r="B133" s="17"/>
      <c r="C133" s="17"/>
      <c r="D133" s="17"/>
      <c r="E133" s="17"/>
      <c r="F133" s="17"/>
      <c r="G133" s="17"/>
    </row>
    <row r="134" spans="2:7" ht="13.2" x14ac:dyDescent="0.25">
      <c r="B134" s="17"/>
      <c r="C134" s="17"/>
      <c r="D134" s="17"/>
      <c r="E134" s="17"/>
      <c r="F134" s="17"/>
      <c r="G134" s="17"/>
    </row>
    <row r="135" spans="2:7" ht="13.2" x14ac:dyDescent="0.25">
      <c r="B135" s="17"/>
      <c r="C135" s="17"/>
      <c r="D135" s="17"/>
      <c r="E135" s="17"/>
      <c r="F135" s="17"/>
      <c r="G135" s="17"/>
    </row>
    <row r="136" spans="2:7" ht="13.2" x14ac:dyDescent="0.25">
      <c r="B136" s="17"/>
      <c r="C136" s="17"/>
      <c r="D136" s="17"/>
      <c r="E136" s="17"/>
      <c r="F136" s="17"/>
      <c r="G136" s="17"/>
    </row>
    <row r="137" spans="2:7" ht="13.2" x14ac:dyDescent="0.25">
      <c r="B137" s="17"/>
      <c r="C137" s="17"/>
      <c r="D137" s="17"/>
      <c r="E137" s="17"/>
      <c r="F137" s="17"/>
      <c r="G137" s="17"/>
    </row>
    <row r="138" spans="2:7" ht="13.2" x14ac:dyDescent="0.25">
      <c r="B138" s="17"/>
      <c r="C138" s="17"/>
      <c r="D138" s="17"/>
      <c r="E138" s="17"/>
      <c r="F138" s="17"/>
      <c r="G138" s="17"/>
    </row>
    <row r="139" spans="2:7" ht="13.2" x14ac:dyDescent="0.25">
      <c r="B139" s="17"/>
      <c r="C139" s="17"/>
      <c r="D139" s="17"/>
      <c r="E139" s="17"/>
      <c r="F139" s="17"/>
      <c r="G139" s="17"/>
    </row>
    <row r="140" spans="2:7" ht="13.2" x14ac:dyDescent="0.25">
      <c r="B140" s="17"/>
      <c r="C140" s="17"/>
      <c r="D140" s="17"/>
      <c r="E140" s="17"/>
      <c r="F140" s="17"/>
      <c r="G140" s="17"/>
    </row>
    <row r="141" spans="2:7" ht="13.2" x14ac:dyDescent="0.25">
      <c r="B141" s="17"/>
      <c r="C141" s="17"/>
      <c r="D141" s="17"/>
      <c r="E141" s="17"/>
      <c r="F141" s="17"/>
      <c r="G141" s="17"/>
    </row>
    <row r="142" spans="2:7" ht="13.2" x14ac:dyDescent="0.25">
      <c r="B142" s="17"/>
      <c r="C142" s="17"/>
      <c r="D142" s="17"/>
      <c r="E142" s="17"/>
      <c r="F142" s="17"/>
      <c r="G142" s="17"/>
    </row>
    <row r="143" spans="2:7" ht="13.2" x14ac:dyDescent="0.25">
      <c r="B143" s="17"/>
      <c r="C143" s="17"/>
      <c r="D143" s="17"/>
      <c r="E143" s="17"/>
      <c r="F143" s="17"/>
      <c r="G143" s="17"/>
    </row>
    <row r="144" spans="2:7" ht="13.2" x14ac:dyDescent="0.25">
      <c r="B144" s="17"/>
      <c r="C144" s="17"/>
      <c r="D144" s="17"/>
      <c r="E144" s="17"/>
      <c r="F144" s="17"/>
      <c r="G144" s="17"/>
    </row>
    <row r="145" spans="2:7" ht="13.2" x14ac:dyDescent="0.25">
      <c r="B145" s="17"/>
      <c r="C145" s="17"/>
      <c r="D145" s="17"/>
      <c r="E145" s="17"/>
      <c r="F145" s="17"/>
      <c r="G145" s="17"/>
    </row>
    <row r="146" spans="2:7" ht="13.2" x14ac:dyDescent="0.25">
      <c r="B146" s="17"/>
      <c r="C146" s="17"/>
      <c r="D146" s="17"/>
      <c r="E146" s="17"/>
      <c r="F146" s="17"/>
      <c r="G146" s="17"/>
    </row>
    <row r="147" spans="2:7" ht="13.2" x14ac:dyDescent="0.25">
      <c r="B147" s="17"/>
      <c r="C147" s="17"/>
      <c r="D147" s="17"/>
      <c r="E147" s="17"/>
      <c r="F147" s="17"/>
      <c r="G147" s="17"/>
    </row>
    <row r="148" spans="2:7" ht="13.2" x14ac:dyDescent="0.25">
      <c r="B148" s="17"/>
      <c r="C148" s="17"/>
      <c r="D148" s="17"/>
      <c r="E148" s="17"/>
      <c r="F148" s="17"/>
      <c r="G148" s="17"/>
    </row>
    <row r="149" spans="2:7" ht="13.2" x14ac:dyDescent="0.25">
      <c r="B149" s="17"/>
      <c r="C149" s="17"/>
      <c r="D149" s="17"/>
      <c r="E149" s="17"/>
      <c r="F149" s="17"/>
      <c r="G149" s="17"/>
    </row>
    <row r="150" spans="2:7" ht="13.2" x14ac:dyDescent="0.25">
      <c r="B150" s="17"/>
      <c r="C150" s="17"/>
      <c r="D150" s="17"/>
      <c r="E150" s="17"/>
      <c r="F150" s="17"/>
      <c r="G150" s="17"/>
    </row>
    <row r="151" spans="2:7" ht="13.2" x14ac:dyDescent="0.25">
      <c r="B151" s="17"/>
      <c r="C151" s="17"/>
      <c r="D151" s="17"/>
      <c r="E151" s="17"/>
      <c r="F151" s="17"/>
      <c r="G151" s="17"/>
    </row>
    <row r="152" spans="2:7" ht="13.2" x14ac:dyDescent="0.25">
      <c r="B152" s="17"/>
      <c r="C152" s="17"/>
      <c r="D152" s="17"/>
      <c r="E152" s="17"/>
      <c r="F152" s="17"/>
      <c r="G152" s="17"/>
    </row>
    <row r="153" spans="2:7" ht="13.2" x14ac:dyDescent="0.25">
      <c r="B153" s="17"/>
      <c r="C153" s="17"/>
      <c r="D153" s="17"/>
      <c r="E153" s="17"/>
      <c r="F153" s="17"/>
      <c r="G153" s="17"/>
    </row>
    <row r="154" spans="2:7" ht="13.2" x14ac:dyDescent="0.25">
      <c r="B154" s="17"/>
      <c r="C154" s="17"/>
      <c r="D154" s="17"/>
      <c r="E154" s="17"/>
      <c r="F154" s="17"/>
      <c r="G154" s="17"/>
    </row>
    <row r="155" spans="2:7" ht="13.2" x14ac:dyDescent="0.25">
      <c r="B155" s="17"/>
      <c r="C155" s="17"/>
      <c r="D155" s="17"/>
      <c r="E155" s="17"/>
      <c r="F155" s="17"/>
      <c r="G155" s="17"/>
    </row>
    <row r="156" spans="2:7" ht="13.2" x14ac:dyDescent="0.25">
      <c r="B156" s="17"/>
      <c r="C156" s="17"/>
      <c r="D156" s="17"/>
      <c r="E156" s="17"/>
      <c r="F156" s="17"/>
      <c r="G156" s="17"/>
    </row>
    <row r="157" spans="2:7" ht="13.2" x14ac:dyDescent="0.25">
      <c r="B157" s="17"/>
      <c r="C157" s="17"/>
      <c r="D157" s="17"/>
      <c r="E157" s="17"/>
      <c r="F157" s="17"/>
      <c r="G157" s="17"/>
    </row>
    <row r="158" spans="2:7" ht="13.2" x14ac:dyDescent="0.25">
      <c r="B158" s="17"/>
      <c r="C158" s="17"/>
      <c r="D158" s="17"/>
      <c r="E158" s="17"/>
      <c r="F158" s="17"/>
      <c r="G158" s="17"/>
    </row>
    <row r="159" spans="2:7" ht="13.2" x14ac:dyDescent="0.25">
      <c r="B159" s="17"/>
      <c r="C159" s="17"/>
      <c r="D159" s="17"/>
      <c r="E159" s="17"/>
      <c r="F159" s="17"/>
      <c r="G159" s="17"/>
    </row>
    <row r="160" spans="2:7" ht="13.2" x14ac:dyDescent="0.25">
      <c r="B160" s="17"/>
      <c r="C160" s="17"/>
      <c r="D160" s="17"/>
      <c r="E160" s="17"/>
      <c r="F160" s="17"/>
      <c r="G160" s="17"/>
    </row>
    <row r="161" spans="2:7" ht="13.2" x14ac:dyDescent="0.25">
      <c r="B161" s="17"/>
      <c r="C161" s="17"/>
      <c r="D161" s="17"/>
      <c r="E161" s="17"/>
      <c r="F161" s="17"/>
      <c r="G161" s="17"/>
    </row>
    <row r="162" spans="2:7" ht="13.2" x14ac:dyDescent="0.25">
      <c r="B162" s="17"/>
      <c r="C162" s="17"/>
      <c r="D162" s="17"/>
      <c r="E162" s="17"/>
      <c r="F162" s="17"/>
      <c r="G162" s="17"/>
    </row>
    <row r="163" spans="2:7" ht="13.2" x14ac:dyDescent="0.25">
      <c r="B163" s="17"/>
      <c r="C163" s="17"/>
      <c r="D163" s="17"/>
      <c r="E163" s="17"/>
      <c r="F163" s="17"/>
      <c r="G163" s="17"/>
    </row>
    <row r="164" spans="2:7" ht="13.2" x14ac:dyDescent="0.25">
      <c r="B164" s="17"/>
      <c r="C164" s="17"/>
      <c r="D164" s="17"/>
      <c r="E164" s="17"/>
      <c r="F164" s="17"/>
      <c r="G164" s="17"/>
    </row>
    <row r="165" spans="2:7" ht="13.2" x14ac:dyDescent="0.25">
      <c r="B165" s="17"/>
      <c r="C165" s="17"/>
      <c r="D165" s="17"/>
      <c r="E165" s="17"/>
      <c r="F165" s="17"/>
      <c r="G165" s="17"/>
    </row>
    <row r="166" spans="2:7" ht="13.2" x14ac:dyDescent="0.25">
      <c r="B166" s="17"/>
      <c r="C166" s="17"/>
      <c r="D166" s="17"/>
      <c r="E166" s="17"/>
      <c r="F166" s="17"/>
      <c r="G166" s="17"/>
    </row>
    <row r="167" spans="2:7" ht="13.2" x14ac:dyDescent="0.25">
      <c r="B167" s="17"/>
      <c r="C167" s="17"/>
      <c r="D167" s="17"/>
      <c r="E167" s="17"/>
      <c r="F167" s="17"/>
      <c r="G167" s="17"/>
    </row>
    <row r="168" spans="2:7" ht="13.2" x14ac:dyDescent="0.25">
      <c r="B168" s="17"/>
      <c r="C168" s="17"/>
      <c r="D168" s="17"/>
      <c r="E168" s="17"/>
      <c r="F168" s="17"/>
      <c r="G168" s="17"/>
    </row>
    <row r="169" spans="2:7" ht="13.2" x14ac:dyDescent="0.25">
      <c r="B169" s="17"/>
      <c r="C169" s="17"/>
      <c r="D169" s="17"/>
      <c r="E169" s="17"/>
      <c r="F169" s="17"/>
      <c r="G169" s="17"/>
    </row>
    <row r="170" spans="2:7" ht="13.2" x14ac:dyDescent="0.25">
      <c r="B170" s="17"/>
      <c r="C170" s="17"/>
      <c r="D170" s="17"/>
      <c r="E170" s="17"/>
      <c r="F170" s="17"/>
      <c r="G170" s="17"/>
    </row>
    <row r="171" spans="2:7" ht="13.2" x14ac:dyDescent="0.25">
      <c r="B171" s="17"/>
      <c r="C171" s="17"/>
      <c r="D171" s="17"/>
      <c r="E171" s="17"/>
      <c r="F171" s="17"/>
      <c r="G171" s="17"/>
    </row>
    <row r="172" spans="2:7" ht="13.2" x14ac:dyDescent="0.25">
      <c r="B172" s="17"/>
      <c r="C172" s="17"/>
      <c r="D172" s="17"/>
      <c r="E172" s="17"/>
      <c r="F172" s="17"/>
      <c r="G172" s="17"/>
    </row>
    <row r="173" spans="2:7" ht="13.2" x14ac:dyDescent="0.25">
      <c r="B173" s="17"/>
      <c r="C173" s="17"/>
      <c r="D173" s="17"/>
      <c r="E173" s="17"/>
      <c r="F173" s="17"/>
      <c r="G173" s="17"/>
    </row>
    <row r="174" spans="2:7" ht="13.2" x14ac:dyDescent="0.25">
      <c r="B174" s="17"/>
      <c r="C174" s="17"/>
      <c r="D174" s="17"/>
      <c r="E174" s="17"/>
      <c r="F174" s="17"/>
      <c r="G174" s="17"/>
    </row>
    <row r="175" spans="2:7" ht="13.2" x14ac:dyDescent="0.25">
      <c r="B175" s="17"/>
      <c r="C175" s="17"/>
      <c r="D175" s="17"/>
      <c r="E175" s="17"/>
      <c r="F175" s="17"/>
      <c r="G175" s="17"/>
    </row>
    <row r="176" spans="2:7" ht="13.2" x14ac:dyDescent="0.25">
      <c r="B176" s="17"/>
      <c r="C176" s="17"/>
      <c r="D176" s="17"/>
      <c r="E176" s="17"/>
      <c r="F176" s="17"/>
      <c r="G176" s="17"/>
    </row>
    <row r="177" spans="2:7" ht="13.2" x14ac:dyDescent="0.25">
      <c r="B177" s="17"/>
      <c r="C177" s="17"/>
      <c r="D177" s="17"/>
      <c r="E177" s="17"/>
      <c r="F177" s="17"/>
      <c r="G177" s="17"/>
    </row>
    <row r="178" spans="2:7" ht="13.2" x14ac:dyDescent="0.25">
      <c r="B178" s="17"/>
      <c r="C178" s="17"/>
      <c r="D178" s="17"/>
      <c r="E178" s="17"/>
      <c r="F178" s="17"/>
      <c r="G178" s="17"/>
    </row>
    <row r="179" spans="2:7" ht="13.2" x14ac:dyDescent="0.25">
      <c r="B179" s="17"/>
      <c r="C179" s="17"/>
      <c r="D179" s="17"/>
      <c r="E179" s="17"/>
      <c r="F179" s="17"/>
      <c r="G179" s="17"/>
    </row>
    <row r="180" spans="2:7" ht="13.2" x14ac:dyDescent="0.25">
      <c r="B180" s="17"/>
      <c r="C180" s="17"/>
      <c r="D180" s="17"/>
      <c r="E180" s="17"/>
      <c r="F180" s="17"/>
      <c r="G180" s="17"/>
    </row>
    <row r="181" spans="2:7" ht="13.2" x14ac:dyDescent="0.25">
      <c r="B181" s="17"/>
      <c r="C181" s="17"/>
      <c r="D181" s="17"/>
      <c r="E181" s="17"/>
      <c r="F181" s="17"/>
      <c r="G181" s="17"/>
    </row>
    <row r="182" spans="2:7" ht="13.2" x14ac:dyDescent="0.25">
      <c r="B182" s="17"/>
      <c r="C182" s="17"/>
      <c r="D182" s="17"/>
      <c r="E182" s="17"/>
      <c r="F182" s="17"/>
      <c r="G182" s="17"/>
    </row>
    <row r="183" spans="2:7" ht="13.2" x14ac:dyDescent="0.25">
      <c r="B183" s="17"/>
      <c r="C183" s="17"/>
      <c r="D183" s="17"/>
      <c r="E183" s="17"/>
      <c r="F183" s="17"/>
      <c r="G183" s="17"/>
    </row>
    <row r="184" spans="2:7" ht="13.2" x14ac:dyDescent="0.25">
      <c r="B184" s="17"/>
      <c r="C184" s="17"/>
      <c r="D184" s="17"/>
      <c r="E184" s="17"/>
      <c r="F184" s="17"/>
      <c r="G184" s="17"/>
    </row>
    <row r="185" spans="2:7" ht="13.2" x14ac:dyDescent="0.25">
      <c r="B185" s="17"/>
      <c r="C185" s="17"/>
      <c r="D185" s="17"/>
      <c r="E185" s="17"/>
      <c r="F185" s="17"/>
      <c r="G185" s="17"/>
    </row>
    <row r="186" spans="2:7" ht="13.2" x14ac:dyDescent="0.25">
      <c r="B186" s="17"/>
      <c r="C186" s="17"/>
      <c r="D186" s="17"/>
      <c r="E186" s="17"/>
      <c r="F186" s="17"/>
      <c r="G186" s="17"/>
    </row>
    <row r="187" spans="2:7" ht="13.2" x14ac:dyDescent="0.25">
      <c r="B187" s="17"/>
      <c r="C187" s="17"/>
      <c r="D187" s="17"/>
      <c r="E187" s="17"/>
      <c r="F187" s="17"/>
      <c r="G187" s="17"/>
    </row>
    <row r="188" spans="2:7" ht="13.2" x14ac:dyDescent="0.25">
      <c r="B188" s="17"/>
      <c r="C188" s="17"/>
      <c r="D188" s="17"/>
      <c r="E188" s="17"/>
      <c r="F188" s="17"/>
      <c r="G188" s="17"/>
    </row>
    <row r="189" spans="2:7" ht="13.2" x14ac:dyDescent="0.25">
      <c r="B189" s="17"/>
      <c r="C189" s="17"/>
      <c r="D189" s="17"/>
      <c r="E189" s="17"/>
      <c r="F189" s="17"/>
      <c r="G189" s="17"/>
    </row>
    <row r="190" spans="2:7" ht="13.2" x14ac:dyDescent="0.25">
      <c r="B190" s="17"/>
      <c r="C190" s="17"/>
      <c r="D190" s="17"/>
      <c r="E190" s="17"/>
      <c r="F190" s="17"/>
      <c r="G190" s="17"/>
    </row>
    <row r="191" spans="2:7" ht="13.2" x14ac:dyDescent="0.25">
      <c r="B191" s="17"/>
      <c r="C191" s="17"/>
      <c r="D191" s="17"/>
      <c r="E191" s="17"/>
      <c r="F191" s="17"/>
      <c r="G191" s="17"/>
    </row>
    <row r="192" spans="2:7" ht="13.2" x14ac:dyDescent="0.25">
      <c r="B192" s="17"/>
      <c r="C192" s="17"/>
      <c r="D192" s="17"/>
      <c r="E192" s="17"/>
      <c r="F192" s="17"/>
      <c r="G192" s="17"/>
    </row>
    <row r="193" spans="2:7" ht="13.2" x14ac:dyDescent="0.25">
      <c r="B193" s="17"/>
      <c r="C193" s="17"/>
      <c r="D193" s="17"/>
      <c r="E193" s="17"/>
      <c r="F193" s="17"/>
      <c r="G193" s="17"/>
    </row>
    <row r="194" spans="2:7" ht="13.2" x14ac:dyDescent="0.25">
      <c r="B194" s="17"/>
      <c r="C194" s="17"/>
      <c r="D194" s="17"/>
      <c r="E194" s="17"/>
      <c r="F194" s="17"/>
      <c r="G194" s="17"/>
    </row>
    <row r="195" spans="2:7" ht="13.2" x14ac:dyDescent="0.25">
      <c r="B195" s="17"/>
      <c r="C195" s="17"/>
      <c r="D195" s="17"/>
      <c r="E195" s="17"/>
      <c r="F195" s="17"/>
      <c r="G195" s="17"/>
    </row>
    <row r="196" spans="2:7" ht="13.2" x14ac:dyDescent="0.25">
      <c r="B196" s="17"/>
      <c r="C196" s="17"/>
      <c r="D196" s="17"/>
      <c r="E196" s="17"/>
      <c r="F196" s="17"/>
      <c r="G196" s="17"/>
    </row>
    <row r="197" spans="2:7" ht="13.2" x14ac:dyDescent="0.25">
      <c r="B197" s="17"/>
      <c r="C197" s="17"/>
      <c r="D197" s="17"/>
      <c r="E197" s="17"/>
      <c r="F197" s="17"/>
      <c r="G197" s="17"/>
    </row>
    <row r="198" spans="2:7" ht="13.2" x14ac:dyDescent="0.25">
      <c r="B198" s="17"/>
      <c r="C198" s="17"/>
      <c r="D198" s="17"/>
      <c r="E198" s="17"/>
      <c r="F198" s="17"/>
      <c r="G198" s="17"/>
    </row>
    <row r="199" spans="2:7" ht="13.2" x14ac:dyDescent="0.25">
      <c r="B199" s="17"/>
      <c r="C199" s="17"/>
      <c r="D199" s="17"/>
      <c r="E199" s="17"/>
      <c r="F199" s="17"/>
      <c r="G199" s="17"/>
    </row>
    <row r="200" spans="2:7" ht="13.2" x14ac:dyDescent="0.25">
      <c r="B200" s="17"/>
      <c r="C200" s="17"/>
      <c r="D200" s="17"/>
      <c r="E200" s="17"/>
      <c r="F200" s="17"/>
      <c r="G200" s="17"/>
    </row>
    <row r="201" spans="2:7" ht="13.2" x14ac:dyDescent="0.25">
      <c r="B201" s="17"/>
      <c r="C201" s="17"/>
      <c r="D201" s="17"/>
      <c r="E201" s="17"/>
      <c r="F201" s="17"/>
      <c r="G201" s="17"/>
    </row>
    <row r="202" spans="2:7" ht="13.2" x14ac:dyDescent="0.25">
      <c r="B202" s="17"/>
      <c r="C202" s="17"/>
      <c r="D202" s="17"/>
      <c r="E202" s="17"/>
      <c r="F202" s="17"/>
      <c r="G202" s="17"/>
    </row>
    <row r="203" spans="2:7" ht="13.2" x14ac:dyDescent="0.25">
      <c r="B203" s="17"/>
      <c r="C203" s="17"/>
      <c r="D203" s="17"/>
      <c r="E203" s="17"/>
      <c r="F203" s="17"/>
      <c r="G203" s="17"/>
    </row>
    <row r="204" spans="2:7" ht="13.2" x14ac:dyDescent="0.25">
      <c r="B204" s="17"/>
      <c r="C204" s="17"/>
      <c r="D204" s="17"/>
      <c r="E204" s="17"/>
      <c r="F204" s="17"/>
      <c r="G204" s="17"/>
    </row>
    <row r="205" spans="2:7" ht="13.2" x14ac:dyDescent="0.25">
      <c r="B205" s="17"/>
      <c r="C205" s="17"/>
      <c r="D205" s="17"/>
      <c r="E205" s="17"/>
      <c r="F205" s="17"/>
      <c r="G205" s="17"/>
    </row>
    <row r="206" spans="2:7" ht="13.2" x14ac:dyDescent="0.25">
      <c r="B206" s="17"/>
      <c r="C206" s="17"/>
      <c r="D206" s="17"/>
      <c r="E206" s="17"/>
      <c r="F206" s="17"/>
      <c r="G206" s="17"/>
    </row>
    <row r="207" spans="2:7" ht="13.2" x14ac:dyDescent="0.25">
      <c r="B207" s="17"/>
      <c r="C207" s="17"/>
      <c r="D207" s="17"/>
      <c r="E207" s="17"/>
      <c r="F207" s="17"/>
      <c r="G207" s="17"/>
    </row>
    <row r="208" spans="2:7" ht="13.2" x14ac:dyDescent="0.25">
      <c r="B208" s="17"/>
      <c r="C208" s="17"/>
      <c r="D208" s="17"/>
      <c r="E208" s="17"/>
      <c r="F208" s="17"/>
      <c r="G208" s="17"/>
    </row>
    <row r="209" spans="2:7" ht="13.2" x14ac:dyDescent="0.25">
      <c r="B209" s="17"/>
      <c r="C209" s="17"/>
      <c r="D209" s="17"/>
      <c r="E209" s="17"/>
      <c r="F209" s="17"/>
      <c r="G209" s="17"/>
    </row>
    <row r="210" spans="2:7" ht="13.2" x14ac:dyDescent="0.25">
      <c r="B210" s="17"/>
      <c r="C210" s="17"/>
      <c r="D210" s="17"/>
      <c r="E210" s="17"/>
      <c r="F210" s="17"/>
      <c r="G210" s="17"/>
    </row>
    <row r="211" spans="2:7" ht="13.2" x14ac:dyDescent="0.25">
      <c r="B211" s="17"/>
      <c r="C211" s="17"/>
      <c r="D211" s="17"/>
      <c r="E211" s="17"/>
      <c r="F211" s="17"/>
      <c r="G211" s="17"/>
    </row>
    <row r="212" spans="2:7" ht="13.2" x14ac:dyDescent="0.25">
      <c r="B212" s="17"/>
      <c r="C212" s="17"/>
      <c r="D212" s="17"/>
      <c r="E212" s="17"/>
      <c r="F212" s="17"/>
      <c r="G212" s="17"/>
    </row>
    <row r="213" spans="2:7" ht="13.2" x14ac:dyDescent="0.25">
      <c r="B213" s="17"/>
      <c r="C213" s="17"/>
      <c r="D213" s="17"/>
      <c r="E213" s="17"/>
      <c r="F213" s="17"/>
      <c r="G213" s="17"/>
    </row>
    <row r="214" spans="2:7" ht="13.2" x14ac:dyDescent="0.25">
      <c r="B214" s="17"/>
      <c r="C214" s="17"/>
      <c r="D214" s="17"/>
      <c r="E214" s="17"/>
      <c r="F214" s="17"/>
      <c r="G214" s="17"/>
    </row>
    <row r="215" spans="2:7" ht="13.2" x14ac:dyDescent="0.25">
      <c r="B215" s="17"/>
      <c r="C215" s="17"/>
      <c r="D215" s="17"/>
      <c r="E215" s="17"/>
      <c r="F215" s="17"/>
      <c r="G215" s="17"/>
    </row>
    <row r="216" spans="2:7" ht="13.2" x14ac:dyDescent="0.25">
      <c r="B216" s="17"/>
      <c r="C216" s="17"/>
      <c r="D216" s="17"/>
      <c r="E216" s="17"/>
      <c r="F216" s="17"/>
      <c r="G216" s="17"/>
    </row>
    <row r="217" spans="2:7" ht="13.2" x14ac:dyDescent="0.25">
      <c r="B217" s="17"/>
      <c r="C217" s="17"/>
      <c r="D217" s="17"/>
      <c r="E217" s="17"/>
      <c r="F217" s="17"/>
      <c r="G217" s="17"/>
    </row>
    <row r="218" spans="2:7" ht="13.2" x14ac:dyDescent="0.25">
      <c r="B218" s="17"/>
      <c r="C218" s="17"/>
      <c r="D218" s="17"/>
      <c r="E218" s="17"/>
      <c r="F218" s="17"/>
      <c r="G218" s="17"/>
    </row>
    <row r="219" spans="2:7" ht="13.2" x14ac:dyDescent="0.25">
      <c r="B219" s="17"/>
      <c r="C219" s="17"/>
      <c r="D219" s="17"/>
      <c r="E219" s="17"/>
      <c r="F219" s="17"/>
      <c r="G219" s="17"/>
    </row>
    <row r="220" spans="2:7" ht="13.2" x14ac:dyDescent="0.25">
      <c r="B220" s="17"/>
      <c r="C220" s="17"/>
      <c r="D220" s="17"/>
      <c r="E220" s="17"/>
      <c r="F220" s="17"/>
      <c r="G220" s="17"/>
    </row>
    <row r="221" spans="2:7" ht="13.2" x14ac:dyDescent="0.25">
      <c r="B221" s="17"/>
      <c r="C221" s="17"/>
      <c r="D221" s="17"/>
      <c r="E221" s="17"/>
      <c r="F221" s="17"/>
      <c r="G221" s="17"/>
    </row>
    <row r="222" spans="2:7" ht="13.2" x14ac:dyDescent="0.25">
      <c r="B222" s="17"/>
      <c r="C222" s="17"/>
      <c r="D222" s="17"/>
      <c r="E222" s="17"/>
      <c r="F222" s="17"/>
      <c r="G222" s="17"/>
    </row>
    <row r="223" spans="2:7" ht="13.2" x14ac:dyDescent="0.25">
      <c r="B223" s="17"/>
      <c r="C223" s="17"/>
      <c r="D223" s="17"/>
      <c r="E223" s="17"/>
      <c r="F223" s="17"/>
      <c r="G223" s="17"/>
    </row>
    <row r="224" spans="2:7" ht="13.2" x14ac:dyDescent="0.25">
      <c r="B224" s="17"/>
      <c r="C224" s="17"/>
      <c r="D224" s="17"/>
      <c r="E224" s="17"/>
      <c r="F224" s="17"/>
      <c r="G224" s="17"/>
    </row>
    <row r="225" spans="2:7" ht="13.2" x14ac:dyDescent="0.25">
      <c r="B225" s="17"/>
      <c r="C225" s="17"/>
      <c r="D225" s="17"/>
      <c r="E225" s="17"/>
      <c r="F225" s="17"/>
      <c r="G225" s="17"/>
    </row>
    <row r="226" spans="2:7" ht="13.2" x14ac:dyDescent="0.25">
      <c r="B226" s="17"/>
      <c r="C226" s="17"/>
      <c r="D226" s="17"/>
      <c r="E226" s="17"/>
      <c r="F226" s="17"/>
      <c r="G226" s="17"/>
    </row>
    <row r="227" spans="2:7" ht="13.2" x14ac:dyDescent="0.25">
      <c r="B227" s="17"/>
      <c r="C227" s="17"/>
      <c r="D227" s="17"/>
      <c r="E227" s="17"/>
      <c r="F227" s="17"/>
      <c r="G227" s="17"/>
    </row>
    <row r="228" spans="2:7" ht="13.2" x14ac:dyDescent="0.25">
      <c r="B228" s="17"/>
      <c r="C228" s="17"/>
      <c r="D228" s="17"/>
      <c r="E228" s="17"/>
      <c r="F228" s="17"/>
      <c r="G228" s="17"/>
    </row>
    <row r="229" spans="2:7" ht="13.2" x14ac:dyDescent="0.25">
      <c r="B229" s="17"/>
      <c r="C229" s="17"/>
      <c r="D229" s="17"/>
      <c r="E229" s="17"/>
      <c r="F229" s="17"/>
      <c r="G229" s="17"/>
    </row>
    <row r="230" spans="2:7" ht="13.2" x14ac:dyDescent="0.25">
      <c r="B230" s="17"/>
      <c r="C230" s="17"/>
      <c r="D230" s="17"/>
      <c r="E230" s="17"/>
      <c r="F230" s="17"/>
      <c r="G230" s="17"/>
    </row>
    <row r="231" spans="2:7" ht="13.2" x14ac:dyDescent="0.25">
      <c r="B231" s="17"/>
      <c r="C231" s="17"/>
      <c r="D231" s="17"/>
      <c r="E231" s="17"/>
      <c r="F231" s="17"/>
      <c r="G231" s="17"/>
    </row>
    <row r="232" spans="2:7" ht="13.2" x14ac:dyDescent="0.25">
      <c r="B232" s="17"/>
      <c r="C232" s="17"/>
      <c r="D232" s="17"/>
      <c r="E232" s="17"/>
      <c r="F232" s="17"/>
      <c r="G232" s="17"/>
    </row>
    <row r="233" spans="2:7" ht="13.2" x14ac:dyDescent="0.25">
      <c r="B233" s="17"/>
      <c r="C233" s="17"/>
      <c r="D233" s="17"/>
      <c r="E233" s="17"/>
      <c r="F233" s="17"/>
      <c r="G233" s="17"/>
    </row>
    <row r="234" spans="2:7" ht="13.2" x14ac:dyDescent="0.25">
      <c r="B234" s="17"/>
      <c r="C234" s="17"/>
      <c r="D234" s="17"/>
      <c r="E234" s="17"/>
      <c r="F234" s="17"/>
      <c r="G234" s="17"/>
    </row>
    <row r="235" spans="2:7" ht="13.2" x14ac:dyDescent="0.25">
      <c r="B235" s="17"/>
      <c r="C235" s="17"/>
      <c r="D235" s="17"/>
      <c r="E235" s="17"/>
      <c r="F235" s="17"/>
      <c r="G235" s="17"/>
    </row>
    <row r="236" spans="2:7" ht="13.2" x14ac:dyDescent="0.25">
      <c r="B236" s="17"/>
      <c r="C236" s="17"/>
      <c r="D236" s="17"/>
      <c r="E236" s="17"/>
      <c r="F236" s="17"/>
      <c r="G236" s="17"/>
    </row>
    <row r="237" spans="2:7" ht="13.2" x14ac:dyDescent="0.25">
      <c r="B237" s="17"/>
      <c r="C237" s="17"/>
      <c r="D237" s="17"/>
      <c r="E237" s="17"/>
      <c r="F237" s="17"/>
      <c r="G237" s="17"/>
    </row>
    <row r="238" spans="2:7" ht="13.2" x14ac:dyDescent="0.25">
      <c r="B238" s="17"/>
      <c r="C238" s="17"/>
      <c r="D238" s="17"/>
      <c r="E238" s="17"/>
      <c r="F238" s="17"/>
      <c r="G238" s="17"/>
    </row>
    <row r="239" spans="2:7" ht="13.2" x14ac:dyDescent="0.25">
      <c r="B239" s="17"/>
      <c r="C239" s="17"/>
      <c r="D239" s="17"/>
      <c r="E239" s="17"/>
      <c r="F239" s="17"/>
      <c r="G239" s="17"/>
    </row>
    <row r="240" spans="2:7" ht="13.2" x14ac:dyDescent="0.25">
      <c r="B240" s="17"/>
      <c r="C240" s="17"/>
      <c r="D240" s="17"/>
      <c r="E240" s="17"/>
      <c r="F240" s="17"/>
      <c r="G240" s="17"/>
    </row>
    <row r="241" spans="2:7" ht="13.2" x14ac:dyDescent="0.25">
      <c r="B241" s="17"/>
      <c r="C241" s="17"/>
      <c r="D241" s="17"/>
      <c r="E241" s="17"/>
      <c r="F241" s="17"/>
      <c r="G241" s="17"/>
    </row>
    <row r="242" spans="2:7" ht="13.2" x14ac:dyDescent="0.25">
      <c r="B242" s="17"/>
      <c r="C242" s="17"/>
      <c r="D242" s="17"/>
      <c r="E242" s="17"/>
      <c r="F242" s="17"/>
      <c r="G242" s="17"/>
    </row>
    <row r="243" spans="2:7" ht="13.2" x14ac:dyDescent="0.25">
      <c r="B243" s="17"/>
      <c r="C243" s="17"/>
      <c r="D243" s="17"/>
      <c r="E243" s="17"/>
      <c r="F243" s="17"/>
      <c r="G243" s="17"/>
    </row>
    <row r="244" spans="2:7" ht="13.2" x14ac:dyDescent="0.25">
      <c r="B244" s="17"/>
      <c r="C244" s="17"/>
      <c r="D244" s="17"/>
      <c r="E244" s="17"/>
      <c r="F244" s="17"/>
      <c r="G244" s="17"/>
    </row>
    <row r="245" spans="2:7" ht="13.2" x14ac:dyDescent="0.25">
      <c r="B245" s="17"/>
      <c r="C245" s="17"/>
      <c r="D245" s="17"/>
      <c r="E245" s="17"/>
      <c r="F245" s="17"/>
      <c r="G245" s="17"/>
    </row>
    <row r="246" spans="2:7" ht="13.2" x14ac:dyDescent="0.25">
      <c r="B246" s="17"/>
      <c r="C246" s="17"/>
      <c r="D246" s="17"/>
      <c r="E246" s="17"/>
      <c r="F246" s="17"/>
      <c r="G246" s="17"/>
    </row>
    <row r="247" spans="2:7" ht="13.2" x14ac:dyDescent="0.25">
      <c r="B247" s="17"/>
      <c r="C247" s="17"/>
      <c r="D247" s="17"/>
      <c r="E247" s="17"/>
      <c r="F247" s="17"/>
      <c r="G247" s="17"/>
    </row>
    <row r="248" spans="2:7" ht="13.2" x14ac:dyDescent="0.25">
      <c r="B248" s="17"/>
      <c r="C248" s="17"/>
      <c r="D248" s="17"/>
      <c r="E248" s="17"/>
      <c r="F248" s="17"/>
      <c r="G248" s="17"/>
    </row>
    <row r="249" spans="2:7" ht="13.2" x14ac:dyDescent="0.25">
      <c r="B249" s="17"/>
      <c r="C249" s="17"/>
      <c r="D249" s="17"/>
      <c r="E249" s="17"/>
      <c r="F249" s="17"/>
      <c r="G249" s="17"/>
    </row>
    <row r="250" spans="2:7" ht="13.2" x14ac:dyDescent="0.25">
      <c r="B250" s="17"/>
      <c r="C250" s="17"/>
      <c r="D250" s="17"/>
      <c r="E250" s="17"/>
      <c r="F250" s="17"/>
      <c r="G250" s="17"/>
    </row>
    <row r="251" spans="2:7" ht="13.2" x14ac:dyDescent="0.25">
      <c r="B251" s="17"/>
      <c r="C251" s="17"/>
      <c r="D251" s="17"/>
      <c r="E251" s="17"/>
      <c r="F251" s="17"/>
      <c r="G251" s="17"/>
    </row>
    <row r="252" spans="2:7" ht="13.2" x14ac:dyDescent="0.25">
      <c r="B252" s="17"/>
      <c r="C252" s="17"/>
      <c r="D252" s="17"/>
      <c r="E252" s="17"/>
      <c r="F252" s="17"/>
      <c r="G252" s="17"/>
    </row>
    <row r="253" spans="2:7" ht="13.2" x14ac:dyDescent="0.25">
      <c r="B253" s="17"/>
      <c r="C253" s="17"/>
      <c r="D253" s="17"/>
      <c r="E253" s="17"/>
      <c r="F253" s="17"/>
      <c r="G253" s="17"/>
    </row>
    <row r="254" spans="2:7" ht="13.2" x14ac:dyDescent="0.25">
      <c r="B254" s="17"/>
      <c r="C254" s="17"/>
      <c r="D254" s="17"/>
      <c r="E254" s="17"/>
      <c r="F254" s="17"/>
      <c r="G254" s="17"/>
    </row>
    <row r="255" spans="2:7" ht="13.2" x14ac:dyDescent="0.25">
      <c r="B255" s="17"/>
      <c r="C255" s="17"/>
      <c r="D255" s="17"/>
      <c r="E255" s="17"/>
      <c r="F255" s="17"/>
      <c r="G255" s="17"/>
    </row>
    <row r="256" spans="2:7" ht="13.2" x14ac:dyDescent="0.25">
      <c r="B256" s="17"/>
      <c r="C256" s="17"/>
      <c r="D256" s="17"/>
      <c r="E256" s="17"/>
      <c r="F256" s="17"/>
      <c r="G256" s="17"/>
    </row>
    <row r="257" spans="2:7" ht="13.2" x14ac:dyDescent="0.25">
      <c r="B257" s="17"/>
      <c r="C257" s="17"/>
      <c r="D257" s="17"/>
      <c r="E257" s="17"/>
      <c r="F257" s="17"/>
      <c r="G257" s="17"/>
    </row>
    <row r="258" spans="2:7" ht="13.2" x14ac:dyDescent="0.25">
      <c r="B258" s="17"/>
      <c r="C258" s="17"/>
      <c r="D258" s="17"/>
      <c r="E258" s="17"/>
      <c r="F258" s="17"/>
      <c r="G258" s="17"/>
    </row>
    <row r="259" spans="2:7" ht="13.2" x14ac:dyDescent="0.25">
      <c r="B259" s="17"/>
      <c r="C259" s="17"/>
      <c r="D259" s="17"/>
      <c r="E259" s="17"/>
      <c r="F259" s="17"/>
      <c r="G259" s="17"/>
    </row>
    <row r="260" spans="2:7" ht="13.2" x14ac:dyDescent="0.25">
      <c r="B260" s="17"/>
      <c r="C260" s="17"/>
      <c r="D260" s="17"/>
      <c r="E260" s="17"/>
      <c r="F260" s="17"/>
      <c r="G260" s="17"/>
    </row>
    <row r="261" spans="2:7" ht="13.2" x14ac:dyDescent="0.25">
      <c r="B261" s="17"/>
      <c r="C261" s="17"/>
      <c r="D261" s="17"/>
      <c r="E261" s="17"/>
      <c r="F261" s="17"/>
      <c r="G261" s="17"/>
    </row>
    <row r="262" spans="2:7" ht="13.2" x14ac:dyDescent="0.25">
      <c r="B262" s="17"/>
      <c r="C262" s="17"/>
      <c r="D262" s="17"/>
      <c r="E262" s="17"/>
      <c r="F262" s="17"/>
      <c r="G262" s="17"/>
    </row>
    <row r="263" spans="2:7" ht="13.2" x14ac:dyDescent="0.25">
      <c r="B263" s="17"/>
      <c r="C263" s="17"/>
      <c r="D263" s="17"/>
      <c r="E263" s="17"/>
      <c r="F263" s="17"/>
      <c r="G263" s="17"/>
    </row>
    <row r="264" spans="2:7" ht="13.2" x14ac:dyDescent="0.25">
      <c r="B264" s="17"/>
      <c r="C264" s="17"/>
      <c r="D264" s="17"/>
      <c r="E264" s="17"/>
      <c r="F264" s="17"/>
      <c r="G264" s="17"/>
    </row>
    <row r="265" spans="2:7" ht="13.2" x14ac:dyDescent="0.25">
      <c r="B265" s="17"/>
      <c r="C265" s="17"/>
      <c r="D265" s="17"/>
      <c r="E265" s="17"/>
      <c r="F265" s="17"/>
      <c r="G265" s="17"/>
    </row>
    <row r="266" spans="2:7" ht="13.2" x14ac:dyDescent="0.25">
      <c r="B266" s="17"/>
      <c r="C266" s="17"/>
      <c r="D266" s="17"/>
      <c r="E266" s="17"/>
      <c r="F266" s="17"/>
      <c r="G266" s="17"/>
    </row>
    <row r="267" spans="2:7" ht="13.2" x14ac:dyDescent="0.25">
      <c r="B267" s="17"/>
      <c r="C267" s="17"/>
      <c r="D267" s="17"/>
      <c r="E267" s="17"/>
      <c r="F267" s="17"/>
      <c r="G267" s="17"/>
    </row>
    <row r="268" spans="2:7" ht="13.2" x14ac:dyDescent="0.25">
      <c r="B268" s="17"/>
      <c r="C268" s="17"/>
      <c r="D268" s="17"/>
      <c r="E268" s="17"/>
      <c r="F268" s="17"/>
      <c r="G268" s="17"/>
    </row>
    <row r="269" spans="2:7" ht="13.2" x14ac:dyDescent="0.25">
      <c r="B269" s="17"/>
      <c r="C269" s="17"/>
      <c r="D269" s="17"/>
      <c r="E269" s="17"/>
      <c r="F269" s="17"/>
      <c r="G269" s="17"/>
    </row>
    <row r="270" spans="2:7" ht="13.2" x14ac:dyDescent="0.25">
      <c r="B270" s="17"/>
      <c r="C270" s="17"/>
      <c r="D270" s="17"/>
      <c r="E270" s="17"/>
      <c r="F270" s="17"/>
      <c r="G270" s="17"/>
    </row>
    <row r="271" spans="2:7" ht="13.2" x14ac:dyDescent="0.25">
      <c r="B271" s="17"/>
      <c r="C271" s="17"/>
      <c r="D271" s="17"/>
      <c r="E271" s="17"/>
      <c r="F271" s="17"/>
      <c r="G271" s="17"/>
    </row>
    <row r="272" spans="2:7" ht="13.2" x14ac:dyDescent="0.25">
      <c r="B272" s="17"/>
      <c r="C272" s="17"/>
      <c r="D272" s="17"/>
      <c r="E272" s="17"/>
      <c r="F272" s="17"/>
      <c r="G272" s="17"/>
    </row>
    <row r="273" spans="2:7" ht="13.2" x14ac:dyDescent="0.25">
      <c r="B273" s="17"/>
      <c r="C273" s="17"/>
      <c r="D273" s="17"/>
      <c r="E273" s="17"/>
      <c r="F273" s="17"/>
      <c r="G273" s="17"/>
    </row>
    <row r="274" spans="2:7" ht="13.2" x14ac:dyDescent="0.25">
      <c r="B274" s="17"/>
      <c r="C274" s="17"/>
      <c r="D274" s="17"/>
      <c r="E274" s="17"/>
      <c r="F274" s="17"/>
      <c r="G274" s="17"/>
    </row>
    <row r="275" spans="2:7" ht="13.2" x14ac:dyDescent="0.25">
      <c r="B275" s="17"/>
      <c r="C275" s="17"/>
      <c r="D275" s="17"/>
      <c r="E275" s="17"/>
      <c r="F275" s="17"/>
      <c r="G275" s="17"/>
    </row>
    <row r="276" spans="2:7" ht="13.2" x14ac:dyDescent="0.25">
      <c r="B276" s="17"/>
      <c r="C276" s="17"/>
      <c r="D276" s="17"/>
      <c r="E276" s="17"/>
      <c r="F276" s="17"/>
      <c r="G276" s="17"/>
    </row>
    <row r="277" spans="2:7" ht="13.2" x14ac:dyDescent="0.25">
      <c r="B277" s="17"/>
      <c r="C277" s="17"/>
      <c r="D277" s="17"/>
      <c r="E277" s="17"/>
      <c r="F277" s="17"/>
      <c r="G277" s="17"/>
    </row>
    <row r="278" spans="2:7" ht="13.2" x14ac:dyDescent="0.25">
      <c r="B278" s="17"/>
      <c r="C278" s="17"/>
      <c r="D278" s="17"/>
      <c r="E278" s="17"/>
      <c r="F278" s="17"/>
      <c r="G278" s="17"/>
    </row>
    <row r="279" spans="2:7" ht="13.2" x14ac:dyDescent="0.25">
      <c r="B279" s="17"/>
      <c r="C279" s="17"/>
      <c r="D279" s="17"/>
      <c r="E279" s="17"/>
      <c r="F279" s="17"/>
      <c r="G279" s="17"/>
    </row>
    <row r="280" spans="2:7" ht="13.2" x14ac:dyDescent="0.25">
      <c r="B280" s="17"/>
      <c r="C280" s="17"/>
      <c r="D280" s="17"/>
      <c r="E280" s="17"/>
      <c r="F280" s="17"/>
      <c r="G280" s="17"/>
    </row>
    <row r="281" spans="2:7" ht="13.2" x14ac:dyDescent="0.25">
      <c r="B281" s="17"/>
      <c r="C281" s="17"/>
      <c r="D281" s="17"/>
      <c r="E281" s="17"/>
      <c r="F281" s="17"/>
      <c r="G281" s="17"/>
    </row>
    <row r="282" spans="2:7" ht="13.2" x14ac:dyDescent="0.25">
      <c r="B282" s="17"/>
      <c r="C282" s="17"/>
      <c r="D282" s="17"/>
      <c r="E282" s="17"/>
      <c r="F282" s="17"/>
      <c r="G282" s="17"/>
    </row>
    <row r="283" spans="2:7" ht="13.2" x14ac:dyDescent="0.25">
      <c r="B283" s="17"/>
      <c r="C283" s="17"/>
      <c r="D283" s="17"/>
      <c r="E283" s="17"/>
      <c r="F283" s="17"/>
      <c r="G283" s="17"/>
    </row>
    <row r="284" spans="2:7" ht="13.2" x14ac:dyDescent="0.25">
      <c r="B284" s="17"/>
      <c r="C284" s="17"/>
      <c r="D284" s="17"/>
      <c r="E284" s="17"/>
      <c r="F284" s="17"/>
      <c r="G284" s="17"/>
    </row>
    <row r="285" spans="2:7" ht="13.2" x14ac:dyDescent="0.25">
      <c r="B285" s="17"/>
      <c r="C285" s="17"/>
      <c r="D285" s="17"/>
      <c r="E285" s="17"/>
      <c r="F285" s="17"/>
      <c r="G285" s="17"/>
    </row>
    <row r="286" spans="2:7" ht="13.2" x14ac:dyDescent="0.25">
      <c r="B286" s="17"/>
      <c r="C286" s="17"/>
      <c r="D286" s="17"/>
      <c r="E286" s="17"/>
      <c r="F286" s="17"/>
      <c r="G286" s="17"/>
    </row>
    <row r="287" spans="2:7" ht="13.2" x14ac:dyDescent="0.25">
      <c r="B287" s="17"/>
      <c r="C287" s="17"/>
      <c r="D287" s="17"/>
      <c r="E287" s="17"/>
      <c r="F287" s="17"/>
      <c r="G287" s="17"/>
    </row>
    <row r="288" spans="2:7" ht="13.2" x14ac:dyDescent="0.25">
      <c r="B288" s="17"/>
      <c r="C288" s="17"/>
      <c r="D288" s="17"/>
      <c r="E288" s="17"/>
      <c r="F288" s="17"/>
      <c r="G288" s="17"/>
    </row>
    <row r="289" spans="2:7" ht="13.2" x14ac:dyDescent="0.25">
      <c r="B289" s="17"/>
      <c r="C289" s="17"/>
      <c r="D289" s="17"/>
      <c r="E289" s="17"/>
      <c r="F289" s="17"/>
      <c r="G289" s="17"/>
    </row>
    <row r="290" spans="2:7" ht="13.2" x14ac:dyDescent="0.25">
      <c r="B290" s="17"/>
      <c r="C290" s="17"/>
      <c r="D290" s="17"/>
      <c r="E290" s="17"/>
      <c r="F290" s="17"/>
      <c r="G290" s="17"/>
    </row>
    <row r="291" spans="2:7" ht="13.2" x14ac:dyDescent="0.25">
      <c r="B291" s="17"/>
      <c r="C291" s="17"/>
      <c r="D291" s="17"/>
      <c r="E291" s="17"/>
      <c r="F291" s="17"/>
      <c r="G291" s="17"/>
    </row>
    <row r="292" spans="2:7" ht="13.2" x14ac:dyDescent="0.25">
      <c r="B292" s="17"/>
      <c r="C292" s="17"/>
      <c r="D292" s="17"/>
      <c r="E292" s="17"/>
      <c r="F292" s="17"/>
      <c r="G292" s="17"/>
    </row>
    <row r="293" spans="2:7" ht="13.2" x14ac:dyDescent="0.25">
      <c r="B293" s="17"/>
      <c r="C293" s="17"/>
      <c r="D293" s="17"/>
      <c r="E293" s="17"/>
      <c r="F293" s="17"/>
      <c r="G293" s="17"/>
    </row>
    <row r="294" spans="2:7" ht="13.2" x14ac:dyDescent="0.25">
      <c r="B294" s="17"/>
      <c r="C294" s="17"/>
      <c r="D294" s="17"/>
      <c r="E294" s="17"/>
      <c r="F294" s="17"/>
      <c r="G294" s="17"/>
    </row>
    <row r="295" spans="2:7" ht="13.2" x14ac:dyDescent="0.25">
      <c r="B295" s="17"/>
      <c r="C295" s="17"/>
      <c r="D295" s="17"/>
      <c r="E295" s="17"/>
      <c r="F295" s="17"/>
      <c r="G295" s="17"/>
    </row>
    <row r="296" spans="2:7" ht="13.2" x14ac:dyDescent="0.25">
      <c r="B296" s="17"/>
      <c r="C296" s="17"/>
      <c r="D296" s="17"/>
      <c r="E296" s="17"/>
      <c r="F296" s="17"/>
      <c r="G296" s="17"/>
    </row>
    <row r="297" spans="2:7" ht="13.2" x14ac:dyDescent="0.25">
      <c r="B297" s="17"/>
      <c r="C297" s="17"/>
      <c r="D297" s="17"/>
      <c r="E297" s="17"/>
      <c r="F297" s="17"/>
      <c r="G297" s="17"/>
    </row>
    <row r="298" spans="2:7" ht="13.2" x14ac:dyDescent="0.25">
      <c r="B298" s="17"/>
      <c r="C298" s="17"/>
      <c r="D298" s="17"/>
      <c r="E298" s="17"/>
      <c r="F298" s="17"/>
      <c r="G298" s="17"/>
    </row>
    <row r="299" spans="2:7" ht="13.2" x14ac:dyDescent="0.25">
      <c r="B299" s="17"/>
      <c r="C299" s="17"/>
      <c r="D299" s="17"/>
      <c r="E299" s="17"/>
      <c r="F299" s="17"/>
      <c r="G299" s="17"/>
    </row>
    <row r="300" spans="2:7" ht="13.2" x14ac:dyDescent="0.25">
      <c r="B300" s="17"/>
      <c r="C300" s="17"/>
      <c r="D300" s="17"/>
      <c r="E300" s="17"/>
      <c r="F300" s="17"/>
      <c r="G300" s="17"/>
    </row>
    <row r="301" spans="2:7" ht="13.2" x14ac:dyDescent="0.25">
      <c r="B301" s="17"/>
      <c r="C301" s="17"/>
      <c r="D301" s="17"/>
      <c r="E301" s="17"/>
      <c r="F301" s="17"/>
      <c r="G301" s="17"/>
    </row>
    <row r="302" spans="2:7" ht="13.2" x14ac:dyDescent="0.25">
      <c r="B302" s="17"/>
      <c r="C302" s="17"/>
      <c r="D302" s="17"/>
      <c r="E302" s="17"/>
      <c r="F302" s="17"/>
      <c r="G302" s="17"/>
    </row>
    <row r="303" spans="2:7" ht="13.2" x14ac:dyDescent="0.25">
      <c r="B303" s="17"/>
      <c r="C303" s="17"/>
      <c r="D303" s="17"/>
      <c r="E303" s="17"/>
      <c r="F303" s="17"/>
      <c r="G303" s="17"/>
    </row>
    <row r="304" spans="2:7" ht="13.2" x14ac:dyDescent="0.25">
      <c r="B304" s="17"/>
      <c r="C304" s="17"/>
      <c r="D304" s="17"/>
      <c r="E304" s="17"/>
      <c r="F304" s="17"/>
      <c r="G304" s="17"/>
    </row>
    <row r="305" spans="2:7" ht="13.2" x14ac:dyDescent="0.25">
      <c r="B305" s="17"/>
      <c r="C305" s="17"/>
      <c r="D305" s="17"/>
      <c r="E305" s="17"/>
      <c r="F305" s="17"/>
      <c r="G305" s="17"/>
    </row>
    <row r="306" spans="2:7" ht="13.2" x14ac:dyDescent="0.25">
      <c r="B306" s="17"/>
      <c r="C306" s="17"/>
      <c r="D306" s="17"/>
      <c r="E306" s="17"/>
      <c r="F306" s="17"/>
      <c r="G306" s="17"/>
    </row>
    <row r="307" spans="2:7" ht="13.2" x14ac:dyDescent="0.25">
      <c r="B307" s="17"/>
      <c r="C307" s="17"/>
      <c r="D307" s="17"/>
      <c r="E307" s="17"/>
      <c r="F307" s="17"/>
      <c r="G307" s="17"/>
    </row>
    <row r="308" spans="2:7" ht="13.2" x14ac:dyDescent="0.25">
      <c r="B308" s="17"/>
      <c r="C308" s="17"/>
      <c r="D308" s="17"/>
      <c r="E308" s="17"/>
      <c r="F308" s="17"/>
      <c r="G308" s="17"/>
    </row>
    <row r="309" spans="2:7" ht="13.2" x14ac:dyDescent="0.25">
      <c r="B309" s="17"/>
      <c r="C309" s="17"/>
      <c r="D309" s="17"/>
      <c r="E309" s="17"/>
      <c r="F309" s="17"/>
      <c r="G309" s="17"/>
    </row>
    <row r="310" spans="2:7" ht="13.2" x14ac:dyDescent="0.25">
      <c r="B310" s="17"/>
      <c r="C310" s="17"/>
      <c r="D310" s="17"/>
      <c r="E310" s="17"/>
      <c r="F310" s="17"/>
      <c r="G310" s="17"/>
    </row>
    <row r="311" spans="2:7" ht="13.2" x14ac:dyDescent="0.25">
      <c r="B311" s="17"/>
      <c r="C311" s="17"/>
      <c r="D311" s="17"/>
      <c r="E311" s="17"/>
      <c r="F311" s="17"/>
      <c r="G311" s="17"/>
    </row>
    <row r="312" spans="2:7" ht="13.2" x14ac:dyDescent="0.25">
      <c r="B312" s="17"/>
      <c r="C312" s="17"/>
      <c r="D312" s="17"/>
      <c r="E312" s="17"/>
      <c r="F312" s="17"/>
      <c r="G312" s="17"/>
    </row>
    <row r="313" spans="2:7" ht="13.2" x14ac:dyDescent="0.25">
      <c r="B313" s="17"/>
      <c r="C313" s="17"/>
      <c r="D313" s="17"/>
      <c r="E313" s="17"/>
      <c r="F313" s="17"/>
      <c r="G313" s="17"/>
    </row>
    <row r="314" spans="2:7" ht="13.2" x14ac:dyDescent="0.25">
      <c r="B314" s="17"/>
      <c r="C314" s="17"/>
      <c r="D314" s="17"/>
      <c r="E314" s="17"/>
      <c r="F314" s="17"/>
      <c r="G314" s="17"/>
    </row>
    <row r="315" spans="2:7" ht="13.2" x14ac:dyDescent="0.25">
      <c r="B315" s="17"/>
      <c r="C315" s="17"/>
      <c r="D315" s="17"/>
      <c r="E315" s="17"/>
      <c r="F315" s="17"/>
      <c r="G315" s="17"/>
    </row>
    <row r="316" spans="2:7" ht="13.2" x14ac:dyDescent="0.25">
      <c r="B316" s="17"/>
      <c r="C316" s="17"/>
      <c r="D316" s="17"/>
      <c r="E316" s="17"/>
      <c r="F316" s="17"/>
      <c r="G316" s="17"/>
    </row>
    <row r="317" spans="2:7" ht="13.2" x14ac:dyDescent="0.25">
      <c r="B317" s="17"/>
      <c r="C317" s="17"/>
      <c r="D317" s="17"/>
      <c r="E317" s="17"/>
      <c r="F317" s="17"/>
      <c r="G317" s="17"/>
    </row>
    <row r="318" spans="2:7" ht="13.2" x14ac:dyDescent="0.25">
      <c r="B318" s="17"/>
      <c r="C318" s="17"/>
      <c r="D318" s="17"/>
      <c r="E318" s="17"/>
      <c r="F318" s="17"/>
      <c r="G318" s="17"/>
    </row>
    <row r="319" spans="2:7" ht="13.2" x14ac:dyDescent="0.25">
      <c r="B319" s="17"/>
      <c r="C319" s="17"/>
      <c r="D319" s="17"/>
      <c r="E319" s="17"/>
      <c r="F319" s="17"/>
      <c r="G319" s="17"/>
    </row>
    <row r="320" spans="2:7" ht="13.2" x14ac:dyDescent="0.25">
      <c r="B320" s="17"/>
      <c r="C320" s="17"/>
      <c r="D320" s="17"/>
      <c r="E320" s="17"/>
      <c r="F320" s="17"/>
      <c r="G320" s="17"/>
    </row>
    <row r="321" spans="2:7" ht="13.2" x14ac:dyDescent="0.25">
      <c r="B321" s="17"/>
      <c r="C321" s="17"/>
      <c r="D321" s="17"/>
      <c r="E321" s="17"/>
      <c r="F321" s="17"/>
      <c r="G321" s="17"/>
    </row>
    <row r="322" spans="2:7" ht="13.2" x14ac:dyDescent="0.25">
      <c r="B322" s="17"/>
      <c r="C322" s="17"/>
      <c r="D322" s="17"/>
      <c r="E322" s="17"/>
      <c r="F322" s="17"/>
      <c r="G322" s="17"/>
    </row>
    <row r="323" spans="2:7" ht="13.2" x14ac:dyDescent="0.25">
      <c r="B323" s="17"/>
      <c r="C323" s="17"/>
      <c r="D323" s="17"/>
      <c r="E323" s="17"/>
      <c r="F323" s="17"/>
      <c r="G323" s="17"/>
    </row>
    <row r="324" spans="2:7" ht="13.2" x14ac:dyDescent="0.25">
      <c r="B324" s="17"/>
      <c r="C324" s="17"/>
      <c r="D324" s="17"/>
      <c r="E324" s="17"/>
      <c r="F324" s="17"/>
      <c r="G324" s="17"/>
    </row>
    <row r="325" spans="2:7" ht="13.2" x14ac:dyDescent="0.25">
      <c r="B325" s="17"/>
      <c r="C325" s="17"/>
      <c r="D325" s="17"/>
      <c r="E325" s="17"/>
      <c r="F325" s="17"/>
      <c r="G325" s="17"/>
    </row>
    <row r="326" spans="2:7" ht="13.2" x14ac:dyDescent="0.25">
      <c r="B326" s="17"/>
      <c r="C326" s="17"/>
      <c r="D326" s="17"/>
      <c r="E326" s="17"/>
      <c r="F326" s="17"/>
      <c r="G326" s="17"/>
    </row>
    <row r="327" spans="2:7" ht="13.2" x14ac:dyDescent="0.25">
      <c r="B327" s="17"/>
      <c r="C327" s="17"/>
      <c r="D327" s="17"/>
      <c r="E327" s="17"/>
      <c r="F327" s="17"/>
      <c r="G327" s="17"/>
    </row>
    <row r="328" spans="2:7" ht="13.2" x14ac:dyDescent="0.25">
      <c r="B328" s="17"/>
      <c r="C328" s="17"/>
      <c r="D328" s="17"/>
      <c r="E328" s="17"/>
      <c r="F328" s="17"/>
      <c r="G328" s="17"/>
    </row>
    <row r="329" spans="2:7" ht="13.2" x14ac:dyDescent="0.25">
      <c r="B329" s="17"/>
      <c r="C329" s="17"/>
      <c r="D329" s="17"/>
      <c r="E329" s="17"/>
      <c r="F329" s="17"/>
      <c r="G329" s="17"/>
    </row>
    <row r="330" spans="2:7" ht="13.2" x14ac:dyDescent="0.25">
      <c r="B330" s="17"/>
      <c r="C330" s="17"/>
      <c r="D330" s="17"/>
      <c r="E330" s="17"/>
      <c r="F330" s="17"/>
      <c r="G330" s="17"/>
    </row>
    <row r="331" spans="2:7" ht="13.2" x14ac:dyDescent="0.25">
      <c r="B331" s="17"/>
      <c r="C331" s="17"/>
      <c r="D331" s="17"/>
      <c r="E331" s="17"/>
      <c r="F331" s="17"/>
      <c r="G331" s="17"/>
    </row>
    <row r="332" spans="2:7" ht="13.2" x14ac:dyDescent="0.25">
      <c r="B332" s="17"/>
      <c r="C332" s="17"/>
      <c r="D332" s="17"/>
      <c r="E332" s="17"/>
      <c r="F332" s="17"/>
      <c r="G332" s="17"/>
    </row>
    <row r="333" spans="2:7" ht="13.2" x14ac:dyDescent="0.25">
      <c r="B333" s="17"/>
      <c r="C333" s="17"/>
      <c r="D333" s="17"/>
      <c r="E333" s="17"/>
      <c r="F333" s="17"/>
      <c r="G333" s="17"/>
    </row>
    <row r="334" spans="2:7" ht="13.2" x14ac:dyDescent="0.25">
      <c r="B334" s="17"/>
      <c r="C334" s="17"/>
      <c r="D334" s="17"/>
      <c r="E334" s="17"/>
      <c r="F334" s="17"/>
      <c r="G334" s="17"/>
    </row>
    <row r="335" spans="2:7" ht="13.2" x14ac:dyDescent="0.25">
      <c r="B335" s="17"/>
      <c r="C335" s="17"/>
      <c r="D335" s="17"/>
      <c r="E335" s="17"/>
      <c r="F335" s="17"/>
      <c r="G335" s="17"/>
    </row>
    <row r="336" spans="2:7" ht="13.2" x14ac:dyDescent="0.25">
      <c r="B336" s="17"/>
      <c r="C336" s="17"/>
      <c r="D336" s="17"/>
      <c r="E336" s="17"/>
      <c r="F336" s="17"/>
      <c r="G336" s="17"/>
    </row>
    <row r="337" spans="2:7" ht="13.2" x14ac:dyDescent="0.25">
      <c r="B337" s="17"/>
      <c r="C337" s="17"/>
      <c r="D337" s="17"/>
      <c r="E337" s="17"/>
      <c r="F337" s="17"/>
      <c r="G337" s="17"/>
    </row>
    <row r="338" spans="2:7" ht="13.2" x14ac:dyDescent="0.25">
      <c r="B338" s="17"/>
      <c r="C338" s="17"/>
      <c r="D338" s="17"/>
      <c r="E338" s="17"/>
      <c r="F338" s="17"/>
      <c r="G338" s="17"/>
    </row>
    <row r="339" spans="2:7" ht="13.2" x14ac:dyDescent="0.25">
      <c r="B339" s="17"/>
      <c r="C339" s="17"/>
      <c r="D339" s="17"/>
      <c r="E339" s="17"/>
      <c r="F339" s="17"/>
      <c r="G339" s="17"/>
    </row>
    <row r="340" spans="2:7" ht="13.2" x14ac:dyDescent="0.25">
      <c r="B340" s="17"/>
      <c r="C340" s="17"/>
      <c r="D340" s="17"/>
      <c r="E340" s="17"/>
      <c r="F340" s="17"/>
      <c r="G340" s="17"/>
    </row>
    <row r="341" spans="2:7" ht="13.2" x14ac:dyDescent="0.25">
      <c r="B341" s="17"/>
      <c r="C341" s="17"/>
      <c r="D341" s="17"/>
      <c r="E341" s="17"/>
      <c r="F341" s="17"/>
      <c r="G341" s="17"/>
    </row>
    <row r="342" spans="2:7" ht="13.2" x14ac:dyDescent="0.25">
      <c r="B342" s="17"/>
      <c r="C342" s="17"/>
      <c r="D342" s="17"/>
      <c r="E342" s="17"/>
      <c r="F342" s="17"/>
      <c r="G342" s="17"/>
    </row>
    <row r="343" spans="2:7" ht="13.2" x14ac:dyDescent="0.25">
      <c r="B343" s="17"/>
      <c r="C343" s="17"/>
      <c r="D343" s="17"/>
      <c r="E343" s="17"/>
      <c r="F343" s="17"/>
      <c r="G343" s="17"/>
    </row>
    <row r="344" spans="2:7" ht="13.2" x14ac:dyDescent="0.25">
      <c r="B344" s="17"/>
      <c r="C344" s="17"/>
      <c r="D344" s="17"/>
      <c r="E344" s="17"/>
      <c r="F344" s="17"/>
      <c r="G344" s="17"/>
    </row>
    <row r="345" spans="2:7" ht="13.2" x14ac:dyDescent="0.25">
      <c r="B345" s="17"/>
      <c r="C345" s="17"/>
      <c r="D345" s="17"/>
      <c r="E345" s="17"/>
      <c r="F345" s="17"/>
      <c r="G345" s="17"/>
    </row>
    <row r="346" spans="2:7" ht="13.2" x14ac:dyDescent="0.25">
      <c r="B346" s="17"/>
      <c r="C346" s="17"/>
      <c r="D346" s="17"/>
      <c r="E346" s="17"/>
      <c r="F346" s="17"/>
      <c r="G346" s="17"/>
    </row>
    <row r="347" spans="2:7" ht="13.2" x14ac:dyDescent="0.25">
      <c r="B347" s="17"/>
      <c r="C347" s="17"/>
      <c r="D347" s="17"/>
      <c r="E347" s="17"/>
      <c r="F347" s="17"/>
      <c r="G347" s="17"/>
    </row>
    <row r="348" spans="2:7" ht="13.2" x14ac:dyDescent="0.25">
      <c r="B348" s="17"/>
      <c r="C348" s="17"/>
      <c r="D348" s="17"/>
      <c r="E348" s="17"/>
      <c r="F348" s="17"/>
      <c r="G348" s="17"/>
    </row>
    <row r="349" spans="2:7" ht="13.2" x14ac:dyDescent="0.25">
      <c r="B349" s="17"/>
      <c r="C349" s="17"/>
      <c r="D349" s="17"/>
      <c r="E349" s="17"/>
      <c r="F349" s="17"/>
      <c r="G349" s="17"/>
    </row>
    <row r="350" spans="2:7" ht="13.2" x14ac:dyDescent="0.25">
      <c r="B350" s="17"/>
      <c r="C350" s="17"/>
      <c r="D350" s="17"/>
      <c r="E350" s="17"/>
      <c r="F350" s="17"/>
      <c r="G350" s="17"/>
    </row>
    <row r="351" spans="2:7" ht="13.2" x14ac:dyDescent="0.25">
      <c r="B351" s="17"/>
      <c r="C351" s="17"/>
      <c r="D351" s="17"/>
      <c r="E351" s="17"/>
      <c r="F351" s="17"/>
      <c r="G351" s="17"/>
    </row>
    <row r="352" spans="2:7" ht="13.2" x14ac:dyDescent="0.25">
      <c r="B352" s="17"/>
      <c r="C352" s="17"/>
      <c r="D352" s="17"/>
      <c r="E352" s="17"/>
      <c r="F352" s="17"/>
      <c r="G352" s="17"/>
    </row>
    <row r="353" spans="2:7" ht="13.2" x14ac:dyDescent="0.25">
      <c r="B353" s="17"/>
      <c r="C353" s="17"/>
      <c r="D353" s="17"/>
      <c r="E353" s="17"/>
      <c r="F353" s="17"/>
      <c r="G353" s="17"/>
    </row>
    <row r="354" spans="2:7" ht="13.2" x14ac:dyDescent="0.25">
      <c r="B354" s="17"/>
      <c r="C354" s="17"/>
      <c r="D354" s="17"/>
      <c r="E354" s="17"/>
      <c r="F354" s="17"/>
      <c r="G354" s="17"/>
    </row>
    <row r="355" spans="2:7" ht="13.2" x14ac:dyDescent="0.25">
      <c r="B355" s="17"/>
      <c r="C355" s="17"/>
      <c r="D355" s="17"/>
      <c r="E355" s="17"/>
      <c r="F355" s="17"/>
      <c r="G355" s="17"/>
    </row>
    <row r="356" spans="2:7" ht="13.2" x14ac:dyDescent="0.25">
      <c r="B356" s="17"/>
      <c r="C356" s="17"/>
      <c r="D356" s="17"/>
      <c r="E356" s="17"/>
      <c r="F356" s="17"/>
      <c r="G356" s="17"/>
    </row>
    <row r="357" spans="2:7" ht="13.2" x14ac:dyDescent="0.25">
      <c r="B357" s="17"/>
      <c r="C357" s="17"/>
      <c r="D357" s="17"/>
      <c r="E357" s="17"/>
      <c r="F357" s="17"/>
      <c r="G357" s="17"/>
    </row>
    <row r="358" spans="2:7" ht="13.2" x14ac:dyDescent="0.25">
      <c r="B358" s="17"/>
      <c r="C358" s="17"/>
      <c r="D358" s="17"/>
      <c r="E358" s="17"/>
      <c r="F358" s="17"/>
      <c r="G358" s="17"/>
    </row>
    <row r="359" spans="2:7" ht="13.2" x14ac:dyDescent="0.25">
      <c r="B359" s="17"/>
      <c r="C359" s="17"/>
      <c r="D359" s="17"/>
      <c r="E359" s="17"/>
      <c r="F359" s="17"/>
      <c r="G359" s="17"/>
    </row>
    <row r="360" spans="2:7" ht="13.2" x14ac:dyDescent="0.25">
      <c r="B360" s="17"/>
      <c r="C360" s="17"/>
      <c r="D360" s="17"/>
      <c r="E360" s="17"/>
      <c r="F360" s="17"/>
      <c r="G360" s="17"/>
    </row>
    <row r="361" spans="2:7" ht="13.2" x14ac:dyDescent="0.25">
      <c r="B361" s="17"/>
      <c r="C361" s="17"/>
      <c r="D361" s="17"/>
      <c r="E361" s="17"/>
      <c r="F361" s="17"/>
      <c r="G361" s="17"/>
    </row>
    <row r="362" spans="2:7" ht="13.2" x14ac:dyDescent="0.25">
      <c r="B362" s="17"/>
      <c r="C362" s="17"/>
      <c r="D362" s="17"/>
      <c r="E362" s="17"/>
      <c r="F362" s="17"/>
      <c r="G362" s="17"/>
    </row>
    <row r="363" spans="2:7" ht="13.2" x14ac:dyDescent="0.25">
      <c r="B363" s="17"/>
      <c r="C363" s="17"/>
      <c r="D363" s="17"/>
      <c r="E363" s="17"/>
      <c r="F363" s="17"/>
      <c r="G363" s="17"/>
    </row>
    <row r="364" spans="2:7" ht="13.2" x14ac:dyDescent="0.25">
      <c r="B364" s="17"/>
      <c r="C364" s="17"/>
      <c r="D364" s="17"/>
      <c r="E364" s="17"/>
      <c r="F364" s="17"/>
      <c r="G364" s="17"/>
    </row>
    <row r="365" spans="2:7" ht="13.2" x14ac:dyDescent="0.25">
      <c r="B365" s="17"/>
      <c r="C365" s="17"/>
      <c r="D365" s="17"/>
      <c r="E365" s="17"/>
      <c r="F365" s="17"/>
      <c r="G365" s="17"/>
    </row>
    <row r="366" spans="2:7" ht="13.2" x14ac:dyDescent="0.25">
      <c r="B366" s="17"/>
      <c r="C366" s="17"/>
      <c r="D366" s="17"/>
      <c r="E366" s="17"/>
      <c r="F366" s="17"/>
      <c r="G366" s="17"/>
    </row>
    <row r="367" spans="2:7" ht="13.2" x14ac:dyDescent="0.25">
      <c r="B367" s="17"/>
      <c r="C367" s="17"/>
      <c r="D367" s="17"/>
      <c r="E367" s="17"/>
      <c r="F367" s="17"/>
      <c r="G367" s="17"/>
    </row>
    <row r="368" spans="2:7" ht="13.2" x14ac:dyDescent="0.25">
      <c r="B368" s="17"/>
      <c r="C368" s="17"/>
      <c r="D368" s="17"/>
      <c r="E368" s="17"/>
      <c r="F368" s="17"/>
      <c r="G368" s="17"/>
    </row>
    <row r="369" spans="2:7" ht="13.2" x14ac:dyDescent="0.25">
      <c r="B369" s="17"/>
      <c r="C369" s="17"/>
      <c r="D369" s="17"/>
      <c r="E369" s="17"/>
      <c r="F369" s="17"/>
      <c r="G369" s="17"/>
    </row>
    <row r="370" spans="2:7" ht="13.2" x14ac:dyDescent="0.25">
      <c r="B370" s="17"/>
      <c r="C370" s="17"/>
      <c r="D370" s="17"/>
      <c r="E370" s="17"/>
      <c r="F370" s="17"/>
      <c r="G370" s="17"/>
    </row>
    <row r="371" spans="2:7" ht="13.2" x14ac:dyDescent="0.25">
      <c r="B371" s="17"/>
      <c r="C371" s="17"/>
      <c r="D371" s="17"/>
      <c r="E371" s="17"/>
      <c r="F371" s="17"/>
      <c r="G371" s="17"/>
    </row>
    <row r="372" spans="2:7" ht="13.2" x14ac:dyDescent="0.25">
      <c r="B372" s="17"/>
      <c r="C372" s="17"/>
      <c r="D372" s="17"/>
      <c r="E372" s="17"/>
      <c r="F372" s="17"/>
      <c r="G372" s="17"/>
    </row>
    <row r="373" spans="2:7" ht="13.2" x14ac:dyDescent="0.25">
      <c r="B373" s="17"/>
      <c r="C373" s="17"/>
      <c r="D373" s="17"/>
      <c r="E373" s="17"/>
      <c r="F373" s="17"/>
      <c r="G373" s="17"/>
    </row>
    <row r="374" spans="2:7" ht="13.2" x14ac:dyDescent="0.25">
      <c r="B374" s="17"/>
      <c r="C374" s="17"/>
      <c r="D374" s="17"/>
      <c r="E374" s="17"/>
      <c r="F374" s="17"/>
      <c r="G374" s="17"/>
    </row>
    <row r="375" spans="2:7" ht="13.2" x14ac:dyDescent="0.25">
      <c r="B375" s="17"/>
      <c r="C375" s="17"/>
      <c r="D375" s="17"/>
      <c r="E375" s="17"/>
      <c r="F375" s="17"/>
      <c r="G375" s="17"/>
    </row>
    <row r="376" spans="2:7" ht="13.2" x14ac:dyDescent="0.25">
      <c r="B376" s="17"/>
      <c r="C376" s="17"/>
      <c r="D376" s="17"/>
      <c r="E376" s="17"/>
      <c r="F376" s="17"/>
      <c r="G376" s="17"/>
    </row>
    <row r="377" spans="2:7" ht="13.2" x14ac:dyDescent="0.25">
      <c r="B377" s="17"/>
      <c r="C377" s="17"/>
      <c r="D377" s="17"/>
      <c r="E377" s="17"/>
      <c r="F377" s="17"/>
      <c r="G377" s="17"/>
    </row>
    <row r="378" spans="2:7" ht="13.2" x14ac:dyDescent="0.25">
      <c r="B378" s="17"/>
      <c r="C378" s="17"/>
      <c r="D378" s="17"/>
      <c r="E378" s="17"/>
      <c r="F378" s="17"/>
      <c r="G378" s="17"/>
    </row>
    <row r="379" spans="2:7" ht="13.2" x14ac:dyDescent="0.25">
      <c r="B379" s="17"/>
      <c r="C379" s="17"/>
      <c r="D379" s="17"/>
      <c r="E379" s="17"/>
      <c r="F379" s="17"/>
      <c r="G379" s="17"/>
    </row>
    <row r="380" spans="2:7" ht="13.2" x14ac:dyDescent="0.25">
      <c r="B380" s="17"/>
      <c r="C380" s="17"/>
      <c r="D380" s="17"/>
      <c r="E380" s="17"/>
      <c r="F380" s="17"/>
      <c r="G380" s="17"/>
    </row>
    <row r="381" spans="2:7" ht="13.2" x14ac:dyDescent="0.25">
      <c r="B381" s="17"/>
      <c r="C381" s="17"/>
      <c r="D381" s="17"/>
      <c r="E381" s="17"/>
      <c r="F381" s="17"/>
      <c r="G381" s="17"/>
    </row>
    <row r="382" spans="2:7" ht="13.2" x14ac:dyDescent="0.25">
      <c r="B382" s="17"/>
      <c r="C382" s="17"/>
      <c r="D382" s="17"/>
      <c r="E382" s="17"/>
      <c r="F382" s="17"/>
      <c r="G382" s="17"/>
    </row>
    <row r="383" spans="2:7" ht="13.2" x14ac:dyDescent="0.25">
      <c r="B383" s="17"/>
      <c r="C383" s="17"/>
      <c r="D383" s="17"/>
      <c r="E383" s="17"/>
      <c r="F383" s="17"/>
      <c r="G383" s="17"/>
    </row>
    <row r="384" spans="2:7" ht="13.2" x14ac:dyDescent="0.25">
      <c r="B384" s="17"/>
      <c r="C384" s="17"/>
      <c r="D384" s="17"/>
      <c r="E384" s="17"/>
      <c r="F384" s="17"/>
      <c r="G384" s="17"/>
    </row>
    <row r="385" spans="2:7" ht="13.2" x14ac:dyDescent="0.25">
      <c r="B385" s="17"/>
      <c r="C385" s="17"/>
      <c r="D385" s="17"/>
      <c r="E385" s="17"/>
      <c r="F385" s="17"/>
      <c r="G385" s="17"/>
    </row>
    <row r="386" spans="2:7" ht="13.2" x14ac:dyDescent="0.25">
      <c r="B386" s="17"/>
      <c r="C386" s="17"/>
      <c r="D386" s="17"/>
      <c r="E386" s="17"/>
      <c r="F386" s="17"/>
      <c r="G386" s="17"/>
    </row>
    <row r="387" spans="2:7" ht="13.2" x14ac:dyDescent="0.25">
      <c r="B387" s="17"/>
      <c r="C387" s="17"/>
      <c r="D387" s="17"/>
      <c r="E387" s="17"/>
      <c r="F387" s="17"/>
      <c r="G387" s="17"/>
    </row>
    <row r="388" spans="2:7" ht="13.2" x14ac:dyDescent="0.25">
      <c r="B388" s="17"/>
      <c r="C388" s="17"/>
      <c r="D388" s="17"/>
      <c r="E388" s="17"/>
      <c r="F388" s="17"/>
      <c r="G388" s="17"/>
    </row>
    <row r="389" spans="2:7" ht="13.2" x14ac:dyDescent="0.25">
      <c r="B389" s="17"/>
      <c r="C389" s="17"/>
      <c r="D389" s="17"/>
      <c r="E389" s="17"/>
      <c r="F389" s="17"/>
      <c r="G389" s="17"/>
    </row>
    <row r="390" spans="2:7" ht="13.2" x14ac:dyDescent="0.25">
      <c r="B390" s="17"/>
      <c r="C390" s="17"/>
      <c r="D390" s="17"/>
      <c r="E390" s="17"/>
      <c r="F390" s="17"/>
      <c r="G390" s="17"/>
    </row>
    <row r="391" spans="2:7" ht="13.2" x14ac:dyDescent="0.25">
      <c r="B391" s="17"/>
      <c r="C391" s="17"/>
      <c r="D391" s="17"/>
      <c r="E391" s="17"/>
      <c r="F391" s="17"/>
      <c r="G391" s="17"/>
    </row>
    <row r="392" spans="2:7" ht="13.2" x14ac:dyDescent="0.25">
      <c r="B392" s="17"/>
      <c r="C392" s="17"/>
      <c r="D392" s="17"/>
      <c r="E392" s="17"/>
      <c r="F392" s="17"/>
      <c r="G392" s="17"/>
    </row>
    <row r="393" spans="2:7" ht="13.2" x14ac:dyDescent="0.25">
      <c r="B393" s="17"/>
      <c r="C393" s="17"/>
      <c r="D393" s="17"/>
      <c r="E393" s="17"/>
      <c r="F393" s="17"/>
      <c r="G393" s="17"/>
    </row>
    <row r="394" spans="2:7" ht="13.2" x14ac:dyDescent="0.25">
      <c r="B394" s="17"/>
      <c r="C394" s="17"/>
      <c r="D394" s="17"/>
      <c r="E394" s="17"/>
      <c r="F394" s="17"/>
      <c r="G394" s="17"/>
    </row>
    <row r="395" spans="2:7" ht="13.2" x14ac:dyDescent="0.25">
      <c r="B395" s="17"/>
      <c r="C395" s="17"/>
      <c r="D395" s="17"/>
      <c r="E395" s="17"/>
      <c r="F395" s="17"/>
      <c r="G395" s="17"/>
    </row>
    <row r="396" spans="2:7" ht="13.2" x14ac:dyDescent="0.25">
      <c r="B396" s="17"/>
      <c r="C396" s="17"/>
      <c r="D396" s="17"/>
      <c r="E396" s="17"/>
      <c r="F396" s="17"/>
      <c r="G396" s="17"/>
    </row>
    <row r="397" spans="2:7" ht="13.2" x14ac:dyDescent="0.25">
      <c r="B397" s="17"/>
      <c r="C397" s="17"/>
      <c r="D397" s="17"/>
      <c r="E397" s="17"/>
      <c r="F397" s="17"/>
      <c r="G397" s="17"/>
    </row>
    <row r="398" spans="2:7" ht="13.2" x14ac:dyDescent="0.25">
      <c r="B398" s="17"/>
      <c r="C398" s="17"/>
      <c r="D398" s="17"/>
      <c r="E398" s="17"/>
      <c r="F398" s="17"/>
      <c r="G398" s="17"/>
    </row>
    <row r="399" spans="2:7" ht="13.2" x14ac:dyDescent="0.25">
      <c r="B399" s="17"/>
      <c r="C399" s="17"/>
      <c r="D399" s="17"/>
      <c r="E399" s="17"/>
      <c r="F399" s="17"/>
      <c r="G399" s="17"/>
    </row>
    <row r="400" spans="2:7" ht="13.2" x14ac:dyDescent="0.25">
      <c r="B400" s="17"/>
      <c r="C400" s="17"/>
      <c r="D400" s="17"/>
      <c r="E400" s="17"/>
      <c r="F400" s="17"/>
      <c r="G400" s="17"/>
    </row>
    <row r="401" spans="2:7" ht="13.2" x14ac:dyDescent="0.25">
      <c r="B401" s="17"/>
      <c r="C401" s="17"/>
      <c r="D401" s="17"/>
      <c r="E401" s="17"/>
      <c r="F401" s="17"/>
      <c r="G401" s="17"/>
    </row>
    <row r="402" spans="2:7" ht="13.2" x14ac:dyDescent="0.25">
      <c r="B402" s="17"/>
      <c r="C402" s="17"/>
      <c r="D402" s="17"/>
      <c r="E402" s="17"/>
      <c r="F402" s="17"/>
      <c r="G402" s="17"/>
    </row>
    <row r="403" spans="2:7" ht="13.2" x14ac:dyDescent="0.25">
      <c r="B403" s="17"/>
      <c r="C403" s="17"/>
      <c r="D403" s="17"/>
      <c r="E403" s="17"/>
      <c r="F403" s="17"/>
      <c r="G403" s="17"/>
    </row>
    <row r="404" spans="2:7" ht="13.2" x14ac:dyDescent="0.25">
      <c r="B404" s="17"/>
      <c r="C404" s="17"/>
      <c r="D404" s="17"/>
      <c r="E404" s="17"/>
      <c r="F404" s="17"/>
      <c r="G404" s="17"/>
    </row>
    <row r="405" spans="2:7" ht="13.2" x14ac:dyDescent="0.25">
      <c r="B405" s="17"/>
      <c r="C405" s="17"/>
      <c r="D405" s="17"/>
      <c r="E405" s="17"/>
      <c r="F405" s="17"/>
      <c r="G405" s="17"/>
    </row>
    <row r="406" spans="2:7" ht="13.2" x14ac:dyDescent="0.25">
      <c r="B406" s="17"/>
      <c r="C406" s="17"/>
      <c r="D406" s="17"/>
      <c r="E406" s="17"/>
      <c r="F406" s="17"/>
      <c r="G406" s="17"/>
    </row>
    <row r="407" spans="2:7" ht="13.2" x14ac:dyDescent="0.25">
      <c r="B407" s="17"/>
      <c r="C407" s="17"/>
      <c r="D407" s="17"/>
      <c r="E407" s="17"/>
      <c r="F407" s="17"/>
      <c r="G407" s="17"/>
    </row>
    <row r="408" spans="2:7" ht="13.2" x14ac:dyDescent="0.25">
      <c r="B408" s="17"/>
      <c r="C408" s="17"/>
      <c r="D408" s="17"/>
      <c r="E408" s="17"/>
      <c r="F408" s="17"/>
      <c r="G408" s="17"/>
    </row>
    <row r="409" spans="2:7" ht="13.2" x14ac:dyDescent="0.25">
      <c r="B409" s="17"/>
      <c r="C409" s="17"/>
      <c r="D409" s="17"/>
      <c r="E409" s="17"/>
      <c r="F409" s="17"/>
      <c r="G409" s="17"/>
    </row>
    <row r="410" spans="2:7" ht="13.2" x14ac:dyDescent="0.25">
      <c r="B410" s="17"/>
      <c r="C410" s="17"/>
      <c r="D410" s="17"/>
      <c r="E410" s="17"/>
      <c r="F410" s="17"/>
      <c r="G410" s="17"/>
    </row>
    <row r="411" spans="2:7" ht="13.2" x14ac:dyDescent="0.25">
      <c r="B411" s="17"/>
      <c r="C411" s="17"/>
      <c r="D411" s="17"/>
      <c r="E411" s="17"/>
      <c r="F411" s="17"/>
      <c r="G411" s="17"/>
    </row>
    <row r="412" spans="2:7" ht="13.2" x14ac:dyDescent="0.25">
      <c r="B412" s="17"/>
      <c r="C412" s="17"/>
      <c r="D412" s="17"/>
      <c r="E412" s="17"/>
      <c r="F412" s="17"/>
      <c r="G412" s="17"/>
    </row>
    <row r="413" spans="2:7" ht="13.2" x14ac:dyDescent="0.25">
      <c r="B413" s="17"/>
      <c r="C413" s="17"/>
      <c r="D413" s="17"/>
      <c r="E413" s="17"/>
      <c r="F413" s="17"/>
      <c r="G413" s="17"/>
    </row>
    <row r="414" spans="2:7" ht="13.2" x14ac:dyDescent="0.25">
      <c r="B414" s="17"/>
      <c r="C414" s="17"/>
      <c r="D414" s="17"/>
      <c r="E414" s="17"/>
      <c r="F414" s="17"/>
      <c r="G414" s="17"/>
    </row>
    <row r="415" spans="2:7" ht="13.2" x14ac:dyDescent="0.25">
      <c r="B415" s="17"/>
      <c r="C415" s="17"/>
      <c r="D415" s="17"/>
      <c r="E415" s="17"/>
      <c r="F415" s="17"/>
      <c r="G415" s="17"/>
    </row>
    <row r="416" spans="2:7" ht="13.2" x14ac:dyDescent="0.25">
      <c r="B416" s="17"/>
      <c r="C416" s="17"/>
      <c r="D416" s="17"/>
      <c r="E416" s="17"/>
      <c r="F416" s="17"/>
      <c r="G416" s="17"/>
    </row>
    <row r="417" spans="2:7" ht="13.2" x14ac:dyDescent="0.25">
      <c r="B417" s="17"/>
      <c r="C417" s="17"/>
      <c r="D417" s="17"/>
      <c r="E417" s="17"/>
      <c r="F417" s="17"/>
      <c r="G417" s="17"/>
    </row>
    <row r="418" spans="2:7" ht="13.2" x14ac:dyDescent="0.25">
      <c r="B418" s="17"/>
      <c r="C418" s="17"/>
      <c r="D418" s="17"/>
      <c r="E418" s="17"/>
      <c r="F418" s="17"/>
      <c r="G418" s="17"/>
    </row>
    <row r="419" spans="2:7" ht="13.2" x14ac:dyDescent="0.25">
      <c r="B419" s="17"/>
      <c r="C419" s="17"/>
      <c r="D419" s="17"/>
      <c r="E419" s="17"/>
      <c r="F419" s="17"/>
      <c r="G419" s="17"/>
    </row>
    <row r="420" spans="2:7" ht="13.2" x14ac:dyDescent="0.25">
      <c r="B420" s="17"/>
      <c r="C420" s="17"/>
      <c r="D420" s="17"/>
      <c r="E420" s="17"/>
      <c r="F420" s="17"/>
      <c r="G420" s="17"/>
    </row>
    <row r="421" spans="2:7" ht="13.2" x14ac:dyDescent="0.25">
      <c r="B421" s="17"/>
      <c r="C421" s="17"/>
      <c r="D421" s="17"/>
      <c r="E421" s="17"/>
      <c r="F421" s="17"/>
      <c r="G421" s="17"/>
    </row>
    <row r="422" spans="2:7" ht="13.2" x14ac:dyDescent="0.25">
      <c r="B422" s="17"/>
      <c r="C422" s="17"/>
      <c r="D422" s="17"/>
      <c r="E422" s="17"/>
      <c r="F422" s="17"/>
      <c r="G422" s="17"/>
    </row>
    <row r="423" spans="2:7" ht="13.2" x14ac:dyDescent="0.25">
      <c r="B423" s="17"/>
      <c r="C423" s="17"/>
      <c r="D423" s="17"/>
      <c r="E423" s="17"/>
      <c r="F423" s="17"/>
      <c r="G423" s="17"/>
    </row>
    <row r="424" spans="2:7" ht="13.2" x14ac:dyDescent="0.25">
      <c r="B424" s="17"/>
      <c r="C424" s="17"/>
      <c r="D424" s="17"/>
      <c r="E424" s="17"/>
      <c r="F424" s="17"/>
      <c r="G424" s="17"/>
    </row>
    <row r="425" spans="2:7" ht="13.2" x14ac:dyDescent="0.25">
      <c r="B425" s="17"/>
      <c r="C425" s="17"/>
      <c r="D425" s="17"/>
      <c r="E425" s="17"/>
      <c r="F425" s="17"/>
      <c r="G425" s="17"/>
    </row>
    <row r="426" spans="2:7" ht="13.2" x14ac:dyDescent="0.25">
      <c r="B426" s="17"/>
      <c r="C426" s="17"/>
      <c r="D426" s="17"/>
      <c r="E426" s="17"/>
      <c r="F426" s="17"/>
      <c r="G426" s="17"/>
    </row>
    <row r="427" spans="2:7" ht="13.2" x14ac:dyDescent="0.25">
      <c r="B427" s="17"/>
      <c r="C427" s="17"/>
      <c r="D427" s="17"/>
      <c r="E427" s="17"/>
      <c r="F427" s="17"/>
      <c r="G427" s="17"/>
    </row>
    <row r="428" spans="2:7" ht="13.2" x14ac:dyDescent="0.25">
      <c r="B428" s="17"/>
      <c r="C428" s="17"/>
      <c r="D428" s="17"/>
      <c r="E428" s="17"/>
      <c r="F428" s="17"/>
      <c r="G428" s="17"/>
    </row>
    <row r="429" spans="2:7" ht="13.2" x14ac:dyDescent="0.25">
      <c r="B429" s="17"/>
      <c r="C429" s="17"/>
      <c r="D429" s="17"/>
      <c r="E429" s="17"/>
      <c r="F429" s="17"/>
      <c r="G429" s="17"/>
    </row>
    <row r="430" spans="2:7" ht="13.2" x14ac:dyDescent="0.25">
      <c r="B430" s="17"/>
      <c r="C430" s="17"/>
      <c r="D430" s="17"/>
      <c r="E430" s="17"/>
      <c r="F430" s="17"/>
      <c r="G430" s="17"/>
    </row>
    <row r="431" spans="2:7" ht="13.2" x14ac:dyDescent="0.25">
      <c r="B431" s="17"/>
      <c r="C431" s="17"/>
      <c r="D431" s="17"/>
      <c r="E431" s="17"/>
      <c r="F431" s="17"/>
      <c r="G431" s="17"/>
    </row>
    <row r="432" spans="2:7" ht="13.2" x14ac:dyDescent="0.25">
      <c r="B432" s="17"/>
      <c r="C432" s="17"/>
      <c r="D432" s="17"/>
      <c r="E432" s="17"/>
      <c r="F432" s="17"/>
      <c r="G432" s="17"/>
    </row>
    <row r="433" spans="2:7" ht="13.2" x14ac:dyDescent="0.25">
      <c r="B433" s="17"/>
      <c r="C433" s="17"/>
      <c r="D433" s="17"/>
      <c r="E433" s="17"/>
      <c r="F433" s="17"/>
      <c r="G433" s="17"/>
    </row>
    <row r="434" spans="2:7" ht="13.2" x14ac:dyDescent="0.25">
      <c r="B434" s="17"/>
      <c r="C434" s="17"/>
      <c r="D434" s="17"/>
      <c r="E434" s="17"/>
      <c r="F434" s="17"/>
      <c r="G434" s="17"/>
    </row>
    <row r="435" spans="2:7" ht="13.2" x14ac:dyDescent="0.25">
      <c r="B435" s="17"/>
      <c r="C435" s="17"/>
      <c r="D435" s="17"/>
      <c r="E435" s="17"/>
      <c r="F435" s="17"/>
      <c r="G435" s="17"/>
    </row>
    <row r="436" spans="2:7" ht="13.2" x14ac:dyDescent="0.25">
      <c r="B436" s="17"/>
      <c r="C436" s="17"/>
      <c r="D436" s="17"/>
      <c r="E436" s="17"/>
      <c r="F436" s="17"/>
      <c r="G436" s="17"/>
    </row>
    <row r="437" spans="2:7" ht="13.2" x14ac:dyDescent="0.25">
      <c r="B437" s="17"/>
      <c r="C437" s="17"/>
      <c r="D437" s="17"/>
      <c r="E437" s="17"/>
      <c r="F437" s="17"/>
      <c r="G437" s="17"/>
    </row>
    <row r="438" spans="2:7" ht="13.2" x14ac:dyDescent="0.25">
      <c r="B438" s="17"/>
      <c r="C438" s="17"/>
      <c r="D438" s="17"/>
      <c r="E438" s="17"/>
      <c r="F438" s="17"/>
      <c r="G438" s="17"/>
    </row>
    <row r="439" spans="2:7" ht="13.2" x14ac:dyDescent="0.25">
      <c r="B439" s="17"/>
      <c r="C439" s="17"/>
      <c r="D439" s="17"/>
      <c r="E439" s="17"/>
      <c r="F439" s="17"/>
      <c r="G439" s="17"/>
    </row>
    <row r="440" spans="2:7" ht="13.2" x14ac:dyDescent="0.25">
      <c r="B440" s="17"/>
      <c r="C440" s="17"/>
      <c r="D440" s="17"/>
      <c r="E440" s="17"/>
      <c r="F440" s="17"/>
      <c r="G440" s="17"/>
    </row>
    <row r="441" spans="2:7" ht="13.2" x14ac:dyDescent="0.25">
      <c r="B441" s="17"/>
      <c r="C441" s="17"/>
      <c r="D441" s="17"/>
      <c r="E441" s="17"/>
      <c r="F441" s="17"/>
      <c r="G441" s="17"/>
    </row>
    <row r="442" spans="2:7" ht="13.2" x14ac:dyDescent="0.25">
      <c r="B442" s="17"/>
      <c r="C442" s="17"/>
      <c r="D442" s="17"/>
      <c r="E442" s="17"/>
      <c r="F442" s="17"/>
      <c r="G442" s="17"/>
    </row>
    <row r="443" spans="2:7" ht="13.2" x14ac:dyDescent="0.25">
      <c r="B443" s="17"/>
      <c r="C443" s="17"/>
      <c r="D443" s="17"/>
      <c r="E443" s="17"/>
      <c r="F443" s="17"/>
      <c r="G443" s="17"/>
    </row>
    <row r="444" spans="2:7" ht="13.2" x14ac:dyDescent="0.25">
      <c r="B444" s="17"/>
      <c r="C444" s="17"/>
      <c r="D444" s="17"/>
      <c r="E444" s="17"/>
      <c r="F444" s="17"/>
      <c r="G444" s="17"/>
    </row>
    <row r="445" spans="2:7" ht="13.2" x14ac:dyDescent="0.25">
      <c r="B445" s="17"/>
      <c r="C445" s="17"/>
      <c r="D445" s="17"/>
      <c r="E445" s="17"/>
      <c r="F445" s="17"/>
      <c r="G445" s="17"/>
    </row>
    <row r="446" spans="2:7" ht="13.2" x14ac:dyDescent="0.25">
      <c r="B446" s="17"/>
      <c r="C446" s="17"/>
      <c r="D446" s="17"/>
      <c r="E446" s="17"/>
      <c r="F446" s="17"/>
      <c r="G446" s="17"/>
    </row>
    <row r="447" spans="2:7" ht="13.2" x14ac:dyDescent="0.25">
      <c r="B447" s="17"/>
      <c r="C447" s="17"/>
      <c r="D447" s="17"/>
      <c r="E447" s="17"/>
      <c r="F447" s="17"/>
      <c r="G447" s="17"/>
    </row>
    <row r="448" spans="2:7" ht="13.2" x14ac:dyDescent="0.25">
      <c r="B448" s="17"/>
      <c r="C448" s="17"/>
      <c r="D448" s="17"/>
      <c r="E448" s="17"/>
      <c r="F448" s="17"/>
      <c r="G448" s="17"/>
    </row>
    <row r="449" spans="2:7" ht="13.2" x14ac:dyDescent="0.25">
      <c r="B449" s="17"/>
      <c r="C449" s="17"/>
      <c r="D449" s="17"/>
      <c r="E449" s="17"/>
      <c r="F449" s="17"/>
      <c r="G449" s="17"/>
    </row>
    <row r="450" spans="2:7" ht="13.2" x14ac:dyDescent="0.25">
      <c r="B450" s="17"/>
      <c r="C450" s="17"/>
      <c r="D450" s="17"/>
      <c r="E450" s="17"/>
      <c r="F450" s="17"/>
      <c r="G450" s="17"/>
    </row>
    <row r="451" spans="2:7" ht="13.2" x14ac:dyDescent="0.25">
      <c r="B451" s="17"/>
      <c r="C451" s="17"/>
      <c r="D451" s="17"/>
      <c r="E451" s="17"/>
      <c r="F451" s="17"/>
      <c r="G451" s="17"/>
    </row>
    <row r="452" spans="2:7" ht="13.2" x14ac:dyDescent="0.25">
      <c r="B452" s="17"/>
      <c r="C452" s="17"/>
      <c r="D452" s="17"/>
      <c r="E452" s="17"/>
      <c r="F452" s="17"/>
      <c r="G452" s="17"/>
    </row>
    <row r="453" spans="2:7" ht="13.2" x14ac:dyDescent="0.25">
      <c r="B453" s="17"/>
      <c r="C453" s="17"/>
      <c r="D453" s="17"/>
      <c r="E453" s="17"/>
      <c r="F453" s="17"/>
      <c r="G453" s="17"/>
    </row>
    <row r="454" spans="2:7" ht="13.2" x14ac:dyDescent="0.25">
      <c r="B454" s="17"/>
      <c r="C454" s="17"/>
      <c r="D454" s="17"/>
      <c r="E454" s="17"/>
      <c r="F454" s="17"/>
      <c r="G454" s="17"/>
    </row>
    <row r="455" spans="2:7" ht="13.2" x14ac:dyDescent="0.25">
      <c r="B455" s="17"/>
      <c r="C455" s="17"/>
      <c r="D455" s="17"/>
      <c r="E455" s="17"/>
      <c r="F455" s="17"/>
      <c r="G455" s="17"/>
    </row>
    <row r="456" spans="2:7" ht="13.2" x14ac:dyDescent="0.25">
      <c r="B456" s="17"/>
      <c r="C456" s="17"/>
      <c r="D456" s="17"/>
      <c r="E456" s="17"/>
      <c r="F456" s="17"/>
      <c r="G456" s="17"/>
    </row>
    <row r="457" spans="2:7" ht="13.2" x14ac:dyDescent="0.25">
      <c r="B457" s="17"/>
      <c r="C457" s="17"/>
      <c r="D457" s="17"/>
      <c r="E457" s="17"/>
      <c r="F457" s="17"/>
      <c r="G457" s="17"/>
    </row>
    <row r="458" spans="2:7" ht="13.2" x14ac:dyDescent="0.25">
      <c r="B458" s="17"/>
      <c r="C458" s="17"/>
      <c r="D458" s="17"/>
      <c r="E458" s="17"/>
      <c r="F458" s="17"/>
      <c r="G458" s="17"/>
    </row>
    <row r="459" spans="2:7" ht="13.2" x14ac:dyDescent="0.25">
      <c r="B459" s="17"/>
      <c r="C459" s="17"/>
      <c r="D459" s="17"/>
      <c r="E459" s="17"/>
      <c r="F459" s="17"/>
      <c r="G459" s="17"/>
    </row>
    <row r="460" spans="2:7" ht="13.2" x14ac:dyDescent="0.25">
      <c r="B460" s="17"/>
      <c r="C460" s="17"/>
      <c r="D460" s="17"/>
      <c r="E460" s="17"/>
      <c r="F460" s="17"/>
      <c r="G460" s="17"/>
    </row>
    <row r="461" spans="2:7" ht="13.2" x14ac:dyDescent="0.25">
      <c r="B461" s="17"/>
      <c r="C461" s="17"/>
      <c r="D461" s="17"/>
      <c r="E461" s="17"/>
      <c r="F461" s="17"/>
      <c r="G461" s="17"/>
    </row>
    <row r="462" spans="2:7" ht="13.2" x14ac:dyDescent="0.25">
      <c r="B462" s="17"/>
      <c r="C462" s="17"/>
      <c r="D462" s="17"/>
      <c r="E462" s="17"/>
      <c r="F462" s="17"/>
      <c r="G462" s="17"/>
    </row>
    <row r="463" spans="2:7" ht="13.2" x14ac:dyDescent="0.25">
      <c r="B463" s="17"/>
      <c r="C463" s="17"/>
      <c r="D463" s="17"/>
      <c r="E463" s="17"/>
      <c r="F463" s="17"/>
      <c r="G463" s="17"/>
    </row>
    <row r="464" spans="2:7" ht="13.2" x14ac:dyDescent="0.25">
      <c r="B464" s="17"/>
      <c r="C464" s="17"/>
      <c r="D464" s="17"/>
      <c r="E464" s="17"/>
      <c r="F464" s="17"/>
      <c r="G464" s="17"/>
    </row>
    <row r="465" spans="2:7" ht="13.2" x14ac:dyDescent="0.25">
      <c r="B465" s="17"/>
      <c r="C465" s="17"/>
      <c r="D465" s="17"/>
      <c r="E465" s="17"/>
      <c r="F465" s="17"/>
      <c r="G465" s="17"/>
    </row>
    <row r="466" spans="2:7" ht="13.2" x14ac:dyDescent="0.25">
      <c r="B466" s="17"/>
      <c r="C466" s="17"/>
      <c r="D466" s="17"/>
      <c r="E466" s="17"/>
      <c r="F466" s="17"/>
      <c r="G466" s="17"/>
    </row>
    <row r="467" spans="2:7" ht="13.2" x14ac:dyDescent="0.25">
      <c r="B467" s="17"/>
      <c r="C467" s="17"/>
      <c r="D467" s="17"/>
      <c r="E467" s="17"/>
      <c r="F467" s="17"/>
      <c r="G467" s="17"/>
    </row>
    <row r="468" spans="2:7" ht="13.2" x14ac:dyDescent="0.25">
      <c r="B468" s="17"/>
      <c r="C468" s="17"/>
      <c r="D468" s="17"/>
      <c r="E468" s="17"/>
      <c r="F468" s="17"/>
      <c r="G468" s="17"/>
    </row>
    <row r="469" spans="2:7" ht="13.2" x14ac:dyDescent="0.25">
      <c r="B469" s="17"/>
      <c r="C469" s="17"/>
      <c r="D469" s="17"/>
      <c r="E469" s="17"/>
      <c r="F469" s="17"/>
      <c r="G469" s="17"/>
    </row>
    <row r="470" spans="2:7" ht="13.2" x14ac:dyDescent="0.25">
      <c r="B470" s="17"/>
      <c r="C470" s="17"/>
      <c r="D470" s="17"/>
      <c r="E470" s="17"/>
      <c r="F470" s="17"/>
      <c r="G470" s="17"/>
    </row>
    <row r="471" spans="2:7" ht="13.2" x14ac:dyDescent="0.25">
      <c r="B471" s="17"/>
      <c r="C471" s="17"/>
      <c r="D471" s="17"/>
      <c r="E471" s="17"/>
      <c r="F471" s="17"/>
      <c r="G471" s="17"/>
    </row>
    <row r="472" spans="2:7" ht="13.2" x14ac:dyDescent="0.25">
      <c r="B472" s="17"/>
      <c r="C472" s="17"/>
      <c r="D472" s="17"/>
      <c r="E472" s="17"/>
      <c r="F472" s="17"/>
      <c r="G472" s="17"/>
    </row>
    <row r="473" spans="2:7" ht="13.2" x14ac:dyDescent="0.25">
      <c r="B473" s="17"/>
      <c r="C473" s="17"/>
      <c r="D473" s="17"/>
      <c r="E473" s="17"/>
      <c r="F473" s="17"/>
      <c r="G473" s="17"/>
    </row>
    <row r="474" spans="2:7" ht="13.2" x14ac:dyDescent="0.25">
      <c r="B474" s="17"/>
      <c r="C474" s="17"/>
      <c r="D474" s="17"/>
      <c r="E474" s="17"/>
      <c r="F474" s="17"/>
      <c r="G474" s="17"/>
    </row>
    <row r="475" spans="2:7" ht="13.2" x14ac:dyDescent="0.25">
      <c r="B475" s="17"/>
      <c r="C475" s="17"/>
      <c r="D475" s="17"/>
      <c r="E475" s="17"/>
      <c r="F475" s="17"/>
      <c r="G475" s="17"/>
    </row>
    <row r="476" spans="2:7" ht="13.2" x14ac:dyDescent="0.25">
      <c r="B476" s="17"/>
      <c r="C476" s="17"/>
      <c r="D476" s="17"/>
      <c r="E476" s="17"/>
      <c r="F476" s="17"/>
      <c r="G476" s="17"/>
    </row>
    <row r="477" spans="2:7" ht="13.2" x14ac:dyDescent="0.25">
      <c r="B477" s="17"/>
      <c r="C477" s="17"/>
      <c r="D477" s="17"/>
      <c r="E477" s="17"/>
      <c r="F477" s="17"/>
      <c r="G477" s="17"/>
    </row>
    <row r="478" spans="2:7" ht="13.2" x14ac:dyDescent="0.25">
      <c r="B478" s="17"/>
      <c r="C478" s="17"/>
      <c r="D478" s="17"/>
      <c r="E478" s="17"/>
      <c r="F478" s="17"/>
      <c r="G478" s="17"/>
    </row>
    <row r="479" spans="2:7" ht="13.2" x14ac:dyDescent="0.25">
      <c r="B479" s="17"/>
      <c r="C479" s="17"/>
      <c r="D479" s="17"/>
      <c r="E479" s="17"/>
      <c r="F479" s="17"/>
      <c r="G479" s="17"/>
    </row>
    <row r="480" spans="2:7" ht="13.2" x14ac:dyDescent="0.25">
      <c r="B480" s="17"/>
      <c r="C480" s="17"/>
      <c r="D480" s="17"/>
      <c r="E480" s="17"/>
      <c r="F480" s="17"/>
      <c r="G480" s="17"/>
    </row>
    <row r="481" spans="2:7" ht="13.2" x14ac:dyDescent="0.25">
      <c r="B481" s="17"/>
      <c r="C481" s="17"/>
      <c r="D481" s="17"/>
      <c r="E481" s="17"/>
      <c r="F481" s="17"/>
      <c r="G481" s="17"/>
    </row>
    <row r="482" spans="2:7" ht="13.2" x14ac:dyDescent="0.25">
      <c r="B482" s="17"/>
      <c r="C482" s="17"/>
      <c r="D482" s="17"/>
      <c r="E482" s="17"/>
      <c r="F482" s="17"/>
      <c r="G482" s="17"/>
    </row>
    <row r="483" spans="2:7" ht="13.2" x14ac:dyDescent="0.25">
      <c r="B483" s="17"/>
      <c r="C483" s="17"/>
      <c r="D483" s="17"/>
      <c r="E483" s="17"/>
      <c r="F483" s="17"/>
      <c r="G483" s="17"/>
    </row>
    <row r="484" spans="2:7" ht="13.2" x14ac:dyDescent="0.25">
      <c r="B484" s="17"/>
      <c r="C484" s="17"/>
      <c r="D484" s="17"/>
      <c r="E484" s="17"/>
      <c r="F484" s="17"/>
      <c r="G484" s="17"/>
    </row>
    <row r="485" spans="2:7" ht="13.2" x14ac:dyDescent="0.25">
      <c r="B485" s="17"/>
      <c r="C485" s="17"/>
      <c r="D485" s="17"/>
      <c r="E485" s="17"/>
      <c r="F485" s="17"/>
      <c r="G485" s="17"/>
    </row>
    <row r="486" spans="2:7" ht="13.2" x14ac:dyDescent="0.25">
      <c r="B486" s="17"/>
      <c r="C486" s="17"/>
      <c r="D486" s="17"/>
      <c r="E486" s="17"/>
      <c r="F486" s="17"/>
      <c r="G486" s="17"/>
    </row>
    <row r="487" spans="2:7" ht="13.2" x14ac:dyDescent="0.25">
      <c r="B487" s="17"/>
      <c r="C487" s="17"/>
      <c r="D487" s="17"/>
      <c r="E487" s="17"/>
      <c r="F487" s="17"/>
      <c r="G487" s="17"/>
    </row>
    <row r="488" spans="2:7" ht="13.2" x14ac:dyDescent="0.25">
      <c r="B488" s="17"/>
      <c r="C488" s="17"/>
      <c r="D488" s="17"/>
      <c r="E488" s="17"/>
      <c r="F488" s="17"/>
      <c r="G488" s="17"/>
    </row>
    <row r="489" spans="2:7" ht="13.2" x14ac:dyDescent="0.25">
      <c r="B489" s="17"/>
      <c r="C489" s="17"/>
      <c r="D489" s="17"/>
      <c r="E489" s="17"/>
      <c r="F489" s="17"/>
      <c r="G489" s="17"/>
    </row>
    <row r="490" spans="2:7" ht="13.2" x14ac:dyDescent="0.25">
      <c r="B490" s="17"/>
      <c r="C490" s="17"/>
      <c r="D490" s="17"/>
      <c r="E490" s="17"/>
      <c r="F490" s="17"/>
      <c r="G490" s="17"/>
    </row>
    <row r="491" spans="2:7" ht="13.2" x14ac:dyDescent="0.25">
      <c r="B491" s="17"/>
      <c r="C491" s="17"/>
      <c r="D491" s="17"/>
      <c r="E491" s="17"/>
      <c r="F491" s="17"/>
      <c r="G491" s="17"/>
    </row>
    <row r="492" spans="2:7" ht="13.2" x14ac:dyDescent="0.25">
      <c r="B492" s="17"/>
      <c r="C492" s="17"/>
      <c r="D492" s="17"/>
      <c r="E492" s="17"/>
      <c r="F492" s="17"/>
      <c r="G492" s="17"/>
    </row>
    <row r="493" spans="2:7" ht="13.2" x14ac:dyDescent="0.25">
      <c r="B493" s="17"/>
      <c r="C493" s="17"/>
      <c r="D493" s="17"/>
      <c r="E493" s="17"/>
      <c r="F493" s="17"/>
      <c r="G493" s="17"/>
    </row>
    <row r="494" spans="2:7" ht="13.2" x14ac:dyDescent="0.25">
      <c r="B494" s="17"/>
      <c r="C494" s="17"/>
      <c r="D494" s="17"/>
      <c r="E494" s="17"/>
      <c r="F494" s="17"/>
      <c r="G494" s="17"/>
    </row>
    <row r="495" spans="2:7" ht="13.2" x14ac:dyDescent="0.25">
      <c r="B495" s="17"/>
      <c r="C495" s="17"/>
      <c r="D495" s="17"/>
      <c r="E495" s="17"/>
      <c r="F495" s="17"/>
      <c r="G495" s="17"/>
    </row>
    <row r="496" spans="2:7" ht="13.2" x14ac:dyDescent="0.25">
      <c r="B496" s="17"/>
      <c r="C496" s="17"/>
      <c r="D496" s="17"/>
      <c r="E496" s="17"/>
      <c r="F496" s="17"/>
      <c r="G496" s="17"/>
    </row>
    <row r="497" spans="2:7" ht="13.2" x14ac:dyDescent="0.25">
      <c r="B497" s="17"/>
      <c r="C497" s="17"/>
      <c r="D497" s="17"/>
      <c r="E497" s="17"/>
      <c r="F497" s="17"/>
      <c r="G497" s="17"/>
    </row>
    <row r="498" spans="2:7" ht="13.2" x14ac:dyDescent="0.25">
      <c r="B498" s="17"/>
      <c r="C498" s="17"/>
      <c r="D498" s="17"/>
      <c r="E498" s="17"/>
      <c r="F498" s="17"/>
      <c r="G498" s="17"/>
    </row>
    <row r="499" spans="2:7" ht="13.2" x14ac:dyDescent="0.25">
      <c r="B499" s="17"/>
      <c r="C499" s="17"/>
      <c r="D499" s="17"/>
      <c r="E499" s="17"/>
      <c r="F499" s="17"/>
      <c r="G499" s="17"/>
    </row>
    <row r="500" spans="2:7" ht="13.2" x14ac:dyDescent="0.25">
      <c r="B500" s="17"/>
      <c r="C500" s="17"/>
      <c r="D500" s="17"/>
      <c r="E500" s="17"/>
      <c r="F500" s="17"/>
      <c r="G500" s="17"/>
    </row>
    <row r="501" spans="2:7" ht="13.2" x14ac:dyDescent="0.25">
      <c r="B501" s="17"/>
      <c r="C501" s="17"/>
      <c r="D501" s="17"/>
      <c r="E501" s="17"/>
      <c r="F501" s="17"/>
      <c r="G501" s="17"/>
    </row>
    <row r="502" spans="2:7" ht="13.2" x14ac:dyDescent="0.25">
      <c r="B502" s="17"/>
      <c r="C502" s="17"/>
      <c r="D502" s="17"/>
      <c r="E502" s="17"/>
      <c r="F502" s="17"/>
      <c r="G502" s="17"/>
    </row>
    <row r="503" spans="2:7" ht="13.2" x14ac:dyDescent="0.25">
      <c r="B503" s="17"/>
      <c r="C503" s="17"/>
      <c r="D503" s="17"/>
      <c r="E503" s="17"/>
      <c r="F503" s="17"/>
      <c r="G503" s="17"/>
    </row>
    <row r="504" spans="2:7" ht="13.2" x14ac:dyDescent="0.25">
      <c r="B504" s="17"/>
      <c r="C504" s="17"/>
      <c r="D504" s="17"/>
      <c r="E504" s="17"/>
      <c r="F504" s="17"/>
      <c r="G504" s="17"/>
    </row>
    <row r="505" spans="2:7" ht="13.2" x14ac:dyDescent="0.25">
      <c r="B505" s="17"/>
      <c r="C505" s="17"/>
      <c r="D505" s="17"/>
      <c r="E505" s="17"/>
      <c r="F505" s="17"/>
      <c r="G505" s="17"/>
    </row>
    <row r="506" spans="2:7" ht="13.2" x14ac:dyDescent="0.25">
      <c r="B506" s="17"/>
      <c r="C506" s="17"/>
      <c r="D506" s="17"/>
      <c r="E506" s="17"/>
      <c r="F506" s="17"/>
      <c r="G506" s="17"/>
    </row>
    <row r="507" spans="2:7" ht="13.2" x14ac:dyDescent="0.25">
      <c r="B507" s="17"/>
      <c r="C507" s="17"/>
      <c r="D507" s="17"/>
      <c r="E507" s="17"/>
      <c r="F507" s="17"/>
      <c r="G507" s="17"/>
    </row>
    <row r="508" spans="2:7" ht="13.2" x14ac:dyDescent="0.25">
      <c r="B508" s="17"/>
      <c r="C508" s="17"/>
      <c r="D508" s="17"/>
      <c r="E508" s="17"/>
      <c r="F508" s="17"/>
      <c r="G508" s="17"/>
    </row>
    <row r="509" spans="2:7" ht="13.2" x14ac:dyDescent="0.25">
      <c r="B509" s="17"/>
      <c r="C509" s="17"/>
      <c r="D509" s="17"/>
      <c r="E509" s="17"/>
      <c r="F509" s="17"/>
      <c r="G509" s="17"/>
    </row>
    <row r="510" spans="2:7" ht="13.2" x14ac:dyDescent="0.25">
      <c r="B510" s="17"/>
      <c r="C510" s="17"/>
      <c r="D510" s="17"/>
      <c r="E510" s="17"/>
      <c r="F510" s="17"/>
      <c r="G510" s="17"/>
    </row>
    <row r="511" spans="2:7" ht="13.2" x14ac:dyDescent="0.25">
      <c r="B511" s="17"/>
      <c r="C511" s="17"/>
      <c r="D511" s="17"/>
      <c r="E511" s="17"/>
      <c r="F511" s="17"/>
      <c r="G511" s="17"/>
    </row>
    <row r="512" spans="2:7" ht="13.2" x14ac:dyDescent="0.25">
      <c r="B512" s="17"/>
      <c r="C512" s="17"/>
      <c r="D512" s="17"/>
      <c r="E512" s="17"/>
      <c r="F512" s="17"/>
      <c r="G512" s="17"/>
    </row>
    <row r="513" spans="2:7" ht="13.2" x14ac:dyDescent="0.25">
      <c r="B513" s="17"/>
      <c r="C513" s="17"/>
      <c r="D513" s="17"/>
      <c r="E513" s="17"/>
      <c r="F513" s="17"/>
      <c r="G513" s="17"/>
    </row>
    <row r="514" spans="2:7" ht="13.2" x14ac:dyDescent="0.25">
      <c r="B514" s="17"/>
      <c r="C514" s="17"/>
      <c r="D514" s="17"/>
      <c r="E514" s="17"/>
      <c r="F514" s="17"/>
      <c r="G514" s="17"/>
    </row>
    <row r="515" spans="2:7" ht="13.2" x14ac:dyDescent="0.25">
      <c r="B515" s="17"/>
      <c r="C515" s="17"/>
      <c r="D515" s="17"/>
      <c r="E515" s="17"/>
      <c r="F515" s="17"/>
      <c r="G515" s="17"/>
    </row>
    <row r="516" spans="2:7" ht="13.2" x14ac:dyDescent="0.25">
      <c r="B516" s="17"/>
      <c r="C516" s="17"/>
      <c r="D516" s="17"/>
      <c r="E516" s="17"/>
      <c r="F516" s="17"/>
      <c r="G516" s="17"/>
    </row>
    <row r="517" spans="2:7" ht="13.2" x14ac:dyDescent="0.25">
      <c r="B517" s="17"/>
      <c r="C517" s="17"/>
      <c r="D517" s="17"/>
      <c r="E517" s="17"/>
      <c r="F517" s="17"/>
      <c r="G517" s="17"/>
    </row>
    <row r="518" spans="2:7" ht="13.2" x14ac:dyDescent="0.25">
      <c r="B518" s="17"/>
      <c r="C518" s="17"/>
      <c r="D518" s="17"/>
      <c r="E518" s="17"/>
      <c r="F518" s="17"/>
      <c r="G518" s="17"/>
    </row>
    <row r="519" spans="2:7" ht="13.2" x14ac:dyDescent="0.25">
      <c r="B519" s="17"/>
      <c r="C519" s="17"/>
      <c r="D519" s="17"/>
      <c r="E519" s="17"/>
      <c r="F519" s="17"/>
      <c r="G519" s="17"/>
    </row>
    <row r="520" spans="2:7" ht="13.2" x14ac:dyDescent="0.25">
      <c r="B520" s="17"/>
      <c r="C520" s="17"/>
      <c r="D520" s="17"/>
      <c r="E520" s="17"/>
      <c r="F520" s="17"/>
      <c r="G520" s="17"/>
    </row>
    <row r="521" spans="2:7" ht="13.2" x14ac:dyDescent="0.25">
      <c r="B521" s="17"/>
      <c r="C521" s="17"/>
      <c r="D521" s="17"/>
      <c r="E521" s="17"/>
      <c r="F521" s="17"/>
      <c r="G521" s="17"/>
    </row>
    <row r="522" spans="2:7" ht="13.2" x14ac:dyDescent="0.25">
      <c r="B522" s="17"/>
      <c r="C522" s="17"/>
      <c r="D522" s="17"/>
      <c r="E522" s="17"/>
      <c r="F522" s="17"/>
      <c r="G522" s="17"/>
    </row>
    <row r="523" spans="2:7" ht="13.2" x14ac:dyDescent="0.25">
      <c r="B523" s="17"/>
      <c r="C523" s="17"/>
      <c r="D523" s="17"/>
      <c r="E523" s="17"/>
      <c r="F523" s="17"/>
      <c r="G523" s="17"/>
    </row>
    <row r="524" spans="2:7" ht="13.2" x14ac:dyDescent="0.25">
      <c r="B524" s="17"/>
      <c r="C524" s="17"/>
      <c r="D524" s="17"/>
      <c r="E524" s="17"/>
      <c r="F524" s="17"/>
      <c r="G524" s="17"/>
    </row>
    <row r="525" spans="2:7" ht="13.2" x14ac:dyDescent="0.25">
      <c r="B525" s="17"/>
      <c r="C525" s="17"/>
      <c r="D525" s="17"/>
      <c r="E525" s="17"/>
      <c r="F525" s="17"/>
      <c r="G525" s="17"/>
    </row>
    <row r="526" spans="2:7" ht="13.2" x14ac:dyDescent="0.25">
      <c r="B526" s="17"/>
      <c r="C526" s="17"/>
      <c r="D526" s="17"/>
      <c r="E526" s="17"/>
      <c r="F526" s="17"/>
      <c r="G526" s="17"/>
    </row>
    <row r="527" spans="2:7" ht="13.2" x14ac:dyDescent="0.25">
      <c r="B527" s="17"/>
      <c r="C527" s="17"/>
      <c r="D527" s="17"/>
      <c r="E527" s="17"/>
      <c r="F527" s="17"/>
      <c r="G527" s="17"/>
    </row>
    <row r="528" spans="2:7" ht="13.2" x14ac:dyDescent="0.25">
      <c r="B528" s="17"/>
      <c r="C528" s="17"/>
      <c r="D528" s="17"/>
      <c r="E528" s="17"/>
      <c r="F528" s="17"/>
      <c r="G528" s="17"/>
    </row>
    <row r="529" spans="2:7" ht="13.2" x14ac:dyDescent="0.25">
      <c r="B529" s="17"/>
      <c r="C529" s="17"/>
      <c r="D529" s="17"/>
      <c r="E529" s="17"/>
      <c r="F529" s="17"/>
      <c r="G529" s="17"/>
    </row>
    <row r="530" spans="2:7" ht="13.2" x14ac:dyDescent="0.25">
      <c r="B530" s="17"/>
      <c r="C530" s="17"/>
      <c r="D530" s="17"/>
      <c r="E530" s="17"/>
      <c r="F530" s="17"/>
      <c r="G530" s="17"/>
    </row>
    <row r="531" spans="2:7" ht="13.2" x14ac:dyDescent="0.25">
      <c r="B531" s="17"/>
      <c r="C531" s="17"/>
      <c r="D531" s="17"/>
      <c r="E531" s="17"/>
      <c r="F531" s="17"/>
      <c r="G531" s="17"/>
    </row>
    <row r="532" spans="2:7" ht="13.2" x14ac:dyDescent="0.25">
      <c r="B532" s="17"/>
      <c r="C532" s="17"/>
      <c r="D532" s="17"/>
      <c r="E532" s="17"/>
      <c r="F532" s="17"/>
      <c r="G532" s="17"/>
    </row>
    <row r="533" spans="2:7" ht="13.2" x14ac:dyDescent="0.25">
      <c r="B533" s="17"/>
      <c r="C533" s="17"/>
      <c r="D533" s="17"/>
      <c r="E533" s="17"/>
      <c r="F533" s="17"/>
      <c r="G533" s="17"/>
    </row>
    <row r="534" spans="2:7" ht="13.2" x14ac:dyDescent="0.25">
      <c r="B534" s="17"/>
      <c r="C534" s="17"/>
      <c r="D534" s="17"/>
      <c r="E534" s="17"/>
      <c r="F534" s="17"/>
      <c r="G534" s="17"/>
    </row>
    <row r="535" spans="2:7" ht="13.2" x14ac:dyDescent="0.25">
      <c r="B535" s="17"/>
      <c r="C535" s="17"/>
      <c r="D535" s="17"/>
      <c r="E535" s="17"/>
      <c r="F535" s="17"/>
      <c r="G535" s="17"/>
    </row>
    <row r="536" spans="2:7" ht="13.2" x14ac:dyDescent="0.25">
      <c r="B536" s="17"/>
      <c r="C536" s="17"/>
      <c r="D536" s="17"/>
      <c r="E536" s="17"/>
      <c r="F536" s="17"/>
      <c r="G536" s="17"/>
    </row>
    <row r="537" spans="2:7" ht="13.2" x14ac:dyDescent="0.25">
      <c r="B537" s="17"/>
      <c r="C537" s="17"/>
      <c r="D537" s="17"/>
      <c r="E537" s="17"/>
      <c r="F537" s="17"/>
      <c r="G537" s="17"/>
    </row>
    <row r="538" spans="2:7" ht="13.2" x14ac:dyDescent="0.25">
      <c r="B538" s="17"/>
      <c r="C538" s="17"/>
      <c r="D538" s="17"/>
      <c r="E538" s="17"/>
      <c r="F538" s="17"/>
      <c r="G538" s="17"/>
    </row>
    <row r="539" spans="2:7" ht="13.2" x14ac:dyDescent="0.25">
      <c r="B539" s="17"/>
      <c r="C539" s="17"/>
      <c r="D539" s="17"/>
      <c r="E539" s="17"/>
      <c r="F539" s="17"/>
      <c r="G539" s="17"/>
    </row>
    <row r="540" spans="2:7" ht="13.2" x14ac:dyDescent="0.25">
      <c r="B540" s="17"/>
      <c r="C540" s="17"/>
      <c r="D540" s="17"/>
      <c r="E540" s="17"/>
      <c r="F540" s="17"/>
      <c r="G540" s="17"/>
    </row>
    <row r="541" spans="2:7" ht="13.2" x14ac:dyDescent="0.25">
      <c r="B541" s="17"/>
      <c r="C541" s="17"/>
      <c r="D541" s="17"/>
      <c r="E541" s="17"/>
      <c r="F541" s="17"/>
      <c r="G541" s="17"/>
    </row>
    <row r="542" spans="2:7" ht="13.2" x14ac:dyDescent="0.25">
      <c r="B542" s="17"/>
      <c r="C542" s="17"/>
      <c r="D542" s="17"/>
      <c r="E542" s="17"/>
      <c r="F542" s="17"/>
      <c r="G542" s="17"/>
    </row>
    <row r="543" spans="2:7" ht="13.2" x14ac:dyDescent="0.25">
      <c r="B543" s="17"/>
      <c r="C543" s="17"/>
      <c r="D543" s="17"/>
      <c r="E543" s="17"/>
      <c r="F543" s="17"/>
      <c r="G543" s="17"/>
    </row>
    <row r="544" spans="2:7" ht="13.2" x14ac:dyDescent="0.25">
      <c r="B544" s="17"/>
      <c r="C544" s="17"/>
      <c r="D544" s="17"/>
      <c r="E544" s="17"/>
      <c r="F544" s="17"/>
      <c r="G544" s="17"/>
    </row>
    <row r="545" spans="2:7" ht="13.2" x14ac:dyDescent="0.25">
      <c r="B545" s="17"/>
      <c r="C545" s="17"/>
      <c r="D545" s="17"/>
      <c r="E545" s="17"/>
      <c r="F545" s="17"/>
      <c r="G545" s="17"/>
    </row>
    <row r="546" spans="2:7" ht="13.2" x14ac:dyDescent="0.25">
      <c r="B546" s="17"/>
      <c r="C546" s="17"/>
      <c r="D546" s="17"/>
      <c r="E546" s="17"/>
      <c r="F546" s="17"/>
      <c r="G546" s="17"/>
    </row>
    <row r="547" spans="2:7" ht="13.2" x14ac:dyDescent="0.25">
      <c r="B547" s="17"/>
      <c r="C547" s="17"/>
      <c r="D547" s="17"/>
      <c r="E547" s="17"/>
      <c r="F547" s="17"/>
      <c r="G547" s="17"/>
    </row>
    <row r="548" spans="2:7" ht="13.2" x14ac:dyDescent="0.25">
      <c r="B548" s="17"/>
      <c r="C548" s="17"/>
      <c r="D548" s="17"/>
      <c r="E548" s="17"/>
      <c r="F548" s="17"/>
      <c r="G548" s="17"/>
    </row>
    <row r="549" spans="2:7" ht="13.2" x14ac:dyDescent="0.25">
      <c r="B549" s="17"/>
      <c r="C549" s="17"/>
      <c r="D549" s="17"/>
      <c r="E549" s="17"/>
      <c r="F549" s="17"/>
      <c r="G549" s="17"/>
    </row>
    <row r="550" spans="2:7" ht="13.2" x14ac:dyDescent="0.25">
      <c r="B550" s="17"/>
      <c r="C550" s="17"/>
      <c r="D550" s="17"/>
      <c r="E550" s="17"/>
      <c r="F550" s="17"/>
      <c r="G550" s="17"/>
    </row>
    <row r="551" spans="2:7" ht="13.2" x14ac:dyDescent="0.25">
      <c r="B551" s="17"/>
      <c r="C551" s="17"/>
      <c r="D551" s="17"/>
      <c r="E551" s="17"/>
      <c r="F551" s="17"/>
      <c r="G551" s="17"/>
    </row>
    <row r="552" spans="2:7" ht="13.2" x14ac:dyDescent="0.25">
      <c r="B552" s="17"/>
      <c r="C552" s="17"/>
      <c r="D552" s="17"/>
      <c r="E552" s="17"/>
      <c r="F552" s="17"/>
      <c r="G552" s="17"/>
    </row>
    <row r="553" spans="2:7" ht="13.2" x14ac:dyDescent="0.25">
      <c r="B553" s="17"/>
      <c r="C553" s="17"/>
      <c r="D553" s="17"/>
      <c r="E553" s="17"/>
      <c r="F553" s="17"/>
      <c r="G553" s="17"/>
    </row>
    <row r="554" spans="2:7" ht="13.2" x14ac:dyDescent="0.25">
      <c r="B554" s="17"/>
      <c r="C554" s="17"/>
      <c r="D554" s="17"/>
      <c r="E554" s="17"/>
      <c r="F554" s="17"/>
      <c r="G554" s="17"/>
    </row>
    <row r="555" spans="2:7" ht="13.2" x14ac:dyDescent="0.25">
      <c r="B555" s="17"/>
      <c r="C555" s="17"/>
      <c r="D555" s="17"/>
      <c r="E555" s="17"/>
      <c r="F555" s="17"/>
      <c r="G555" s="17"/>
    </row>
    <row r="556" spans="2:7" ht="13.2" x14ac:dyDescent="0.25">
      <c r="B556" s="17"/>
      <c r="C556" s="17"/>
      <c r="D556" s="17"/>
      <c r="E556" s="17"/>
      <c r="F556" s="17"/>
      <c r="G556" s="17"/>
    </row>
    <row r="557" spans="2:7" ht="13.2" x14ac:dyDescent="0.25">
      <c r="B557" s="17"/>
      <c r="C557" s="17"/>
      <c r="D557" s="17"/>
      <c r="E557" s="17"/>
      <c r="F557" s="17"/>
      <c r="G557" s="17"/>
    </row>
    <row r="558" spans="2:7" ht="13.2" x14ac:dyDescent="0.25">
      <c r="B558" s="17"/>
      <c r="C558" s="17"/>
      <c r="D558" s="17"/>
      <c r="E558" s="17"/>
      <c r="F558" s="17"/>
      <c r="G558" s="17"/>
    </row>
    <row r="559" spans="2:7" ht="13.2" x14ac:dyDescent="0.25">
      <c r="B559" s="17"/>
      <c r="C559" s="17"/>
      <c r="D559" s="17"/>
      <c r="E559" s="17"/>
      <c r="F559" s="17"/>
      <c r="G559" s="17"/>
    </row>
    <row r="560" spans="2:7" ht="13.2" x14ac:dyDescent="0.25">
      <c r="B560" s="17"/>
      <c r="C560" s="17"/>
      <c r="D560" s="17"/>
      <c r="E560" s="17"/>
      <c r="F560" s="17"/>
      <c r="G560" s="17"/>
    </row>
    <row r="561" spans="2:7" ht="13.2" x14ac:dyDescent="0.25">
      <c r="B561" s="17"/>
      <c r="C561" s="17"/>
      <c r="D561" s="17"/>
      <c r="E561" s="17"/>
      <c r="F561" s="17"/>
      <c r="G561" s="17"/>
    </row>
    <row r="562" spans="2:7" ht="13.2" x14ac:dyDescent="0.25">
      <c r="B562" s="17"/>
      <c r="C562" s="17"/>
      <c r="D562" s="17"/>
      <c r="E562" s="17"/>
      <c r="F562" s="17"/>
      <c r="G562" s="17"/>
    </row>
    <row r="563" spans="2:7" ht="13.2" x14ac:dyDescent="0.25">
      <c r="B563" s="17"/>
      <c r="C563" s="17"/>
      <c r="D563" s="17"/>
      <c r="E563" s="17"/>
      <c r="F563" s="17"/>
      <c r="G563" s="17"/>
    </row>
    <row r="564" spans="2:7" ht="13.2" x14ac:dyDescent="0.25">
      <c r="B564" s="17"/>
      <c r="C564" s="17"/>
      <c r="D564" s="17"/>
      <c r="E564" s="17"/>
      <c r="F564" s="17"/>
      <c r="G564" s="17"/>
    </row>
    <row r="565" spans="2:7" ht="13.2" x14ac:dyDescent="0.25">
      <c r="B565" s="17"/>
      <c r="C565" s="17"/>
      <c r="D565" s="17"/>
      <c r="E565" s="17"/>
      <c r="F565" s="17"/>
      <c r="G565" s="17"/>
    </row>
    <row r="566" spans="2:7" ht="13.2" x14ac:dyDescent="0.25">
      <c r="B566" s="17"/>
      <c r="C566" s="17"/>
      <c r="D566" s="17"/>
      <c r="E566" s="17"/>
      <c r="F566" s="17"/>
      <c r="G566" s="17"/>
    </row>
    <row r="567" spans="2:7" ht="13.2" x14ac:dyDescent="0.25">
      <c r="B567" s="17"/>
      <c r="C567" s="17"/>
      <c r="D567" s="17"/>
      <c r="E567" s="17"/>
      <c r="F567" s="17"/>
      <c r="G567" s="17"/>
    </row>
    <row r="568" spans="2:7" ht="13.2" x14ac:dyDescent="0.25">
      <c r="B568" s="17"/>
      <c r="C568" s="17"/>
      <c r="D568" s="17"/>
      <c r="E568" s="17"/>
      <c r="F568" s="17"/>
      <c r="G568" s="17"/>
    </row>
    <row r="569" spans="2:7" ht="13.2" x14ac:dyDescent="0.25">
      <c r="B569" s="17"/>
      <c r="C569" s="17"/>
      <c r="D569" s="17"/>
      <c r="E569" s="17"/>
      <c r="F569" s="17"/>
      <c r="G569" s="17"/>
    </row>
    <row r="570" spans="2:7" ht="13.2" x14ac:dyDescent="0.25">
      <c r="B570" s="17"/>
      <c r="C570" s="17"/>
      <c r="D570" s="17"/>
      <c r="E570" s="17"/>
      <c r="F570" s="17"/>
      <c r="G570" s="17"/>
    </row>
    <row r="571" spans="2:7" ht="13.2" x14ac:dyDescent="0.25">
      <c r="B571" s="17"/>
      <c r="C571" s="17"/>
      <c r="D571" s="17"/>
      <c r="E571" s="17"/>
      <c r="F571" s="17"/>
      <c r="G571" s="17"/>
    </row>
    <row r="572" spans="2:7" ht="13.2" x14ac:dyDescent="0.25">
      <c r="B572" s="17"/>
      <c r="C572" s="17"/>
      <c r="D572" s="17"/>
      <c r="E572" s="17"/>
      <c r="F572" s="17"/>
      <c r="G572" s="17"/>
    </row>
    <row r="573" spans="2:7" ht="13.2" x14ac:dyDescent="0.25">
      <c r="B573" s="17"/>
      <c r="C573" s="17"/>
      <c r="D573" s="17"/>
      <c r="E573" s="17"/>
      <c r="F573" s="17"/>
      <c r="G573" s="17"/>
    </row>
    <row r="574" spans="2:7" ht="13.2" x14ac:dyDescent="0.25">
      <c r="B574" s="17"/>
      <c r="C574" s="17"/>
      <c r="D574" s="17"/>
      <c r="E574" s="17"/>
      <c r="F574" s="17"/>
      <c r="G574" s="17"/>
    </row>
    <row r="575" spans="2:7" ht="13.2" x14ac:dyDescent="0.25">
      <c r="B575" s="17"/>
      <c r="C575" s="17"/>
      <c r="D575" s="17"/>
      <c r="E575" s="17"/>
      <c r="F575" s="17"/>
      <c r="G575" s="17"/>
    </row>
    <row r="576" spans="2:7" ht="13.2" x14ac:dyDescent="0.25">
      <c r="B576" s="17"/>
      <c r="C576" s="17"/>
      <c r="D576" s="17"/>
      <c r="E576" s="17"/>
      <c r="F576" s="17"/>
      <c r="G576" s="17"/>
    </row>
    <row r="577" spans="2:7" ht="13.2" x14ac:dyDescent="0.25">
      <c r="B577" s="17"/>
      <c r="C577" s="17"/>
      <c r="D577" s="17"/>
      <c r="E577" s="17"/>
      <c r="F577" s="17"/>
      <c r="G577" s="17"/>
    </row>
    <row r="578" spans="2:7" ht="13.2" x14ac:dyDescent="0.25">
      <c r="B578" s="17"/>
      <c r="C578" s="17"/>
      <c r="D578" s="17"/>
      <c r="E578" s="17"/>
      <c r="F578" s="17"/>
      <c r="G578" s="17"/>
    </row>
    <row r="579" spans="2:7" ht="13.2" x14ac:dyDescent="0.25">
      <c r="B579" s="17"/>
      <c r="C579" s="17"/>
      <c r="D579" s="17"/>
      <c r="E579" s="17"/>
      <c r="F579" s="17"/>
      <c r="G579" s="17"/>
    </row>
    <row r="580" spans="2:7" ht="13.2" x14ac:dyDescent="0.25">
      <c r="B580" s="17"/>
      <c r="C580" s="17"/>
      <c r="D580" s="17"/>
      <c r="E580" s="17"/>
      <c r="F580" s="17"/>
      <c r="G580" s="17"/>
    </row>
    <row r="581" spans="2:7" ht="13.2" x14ac:dyDescent="0.25">
      <c r="B581" s="17"/>
      <c r="C581" s="17"/>
      <c r="D581" s="17"/>
      <c r="E581" s="17"/>
      <c r="F581" s="17"/>
      <c r="G581" s="17"/>
    </row>
    <row r="582" spans="2:7" ht="13.2" x14ac:dyDescent="0.25">
      <c r="B582" s="17"/>
      <c r="C582" s="17"/>
      <c r="D582" s="17"/>
      <c r="E582" s="17"/>
      <c r="F582" s="17"/>
      <c r="G582" s="17"/>
    </row>
    <row r="583" spans="2:7" ht="13.2" x14ac:dyDescent="0.25">
      <c r="B583" s="17"/>
      <c r="C583" s="17"/>
      <c r="D583" s="17"/>
      <c r="E583" s="17"/>
      <c r="F583" s="17"/>
      <c r="G583" s="17"/>
    </row>
    <row r="584" spans="2:7" ht="13.2" x14ac:dyDescent="0.25">
      <c r="B584" s="17"/>
      <c r="C584" s="17"/>
      <c r="D584" s="17"/>
      <c r="E584" s="17"/>
      <c r="F584" s="17"/>
      <c r="G584" s="17"/>
    </row>
    <row r="585" spans="2:7" ht="13.2" x14ac:dyDescent="0.25">
      <c r="B585" s="17"/>
      <c r="C585" s="17"/>
      <c r="D585" s="17"/>
      <c r="E585" s="17"/>
      <c r="F585" s="17"/>
      <c r="G585" s="17"/>
    </row>
    <row r="586" spans="2:7" ht="13.2" x14ac:dyDescent="0.25">
      <c r="B586" s="17"/>
      <c r="C586" s="17"/>
      <c r="D586" s="17"/>
      <c r="E586" s="17"/>
      <c r="F586" s="17"/>
      <c r="G586" s="17"/>
    </row>
    <row r="587" spans="2:7" ht="13.2" x14ac:dyDescent="0.25">
      <c r="B587" s="17"/>
      <c r="C587" s="17"/>
      <c r="D587" s="17"/>
      <c r="E587" s="17"/>
      <c r="F587" s="17"/>
      <c r="G587" s="17"/>
    </row>
    <row r="588" spans="2:7" ht="13.2" x14ac:dyDescent="0.25">
      <c r="B588" s="17"/>
      <c r="C588" s="17"/>
      <c r="D588" s="17"/>
      <c r="E588" s="17"/>
      <c r="F588" s="17"/>
      <c r="G588" s="17"/>
    </row>
    <row r="589" spans="2:7" ht="13.2" x14ac:dyDescent="0.25">
      <c r="B589" s="17"/>
      <c r="C589" s="17"/>
      <c r="D589" s="17"/>
      <c r="E589" s="17"/>
      <c r="F589" s="17"/>
      <c r="G589" s="17"/>
    </row>
    <row r="590" spans="2:7" ht="13.2" x14ac:dyDescent="0.25">
      <c r="B590" s="17"/>
      <c r="C590" s="17"/>
      <c r="D590" s="17"/>
      <c r="E590" s="17"/>
      <c r="F590" s="17"/>
      <c r="G590" s="17"/>
    </row>
    <row r="591" spans="2:7" ht="13.2" x14ac:dyDescent="0.25">
      <c r="B591" s="17"/>
      <c r="C591" s="17"/>
      <c r="D591" s="17"/>
      <c r="E591" s="17"/>
      <c r="F591" s="17"/>
      <c r="G591" s="17"/>
    </row>
    <row r="592" spans="2:7" ht="13.2" x14ac:dyDescent="0.25">
      <c r="B592" s="17"/>
      <c r="C592" s="17"/>
      <c r="D592" s="17"/>
      <c r="E592" s="17"/>
      <c r="F592" s="17"/>
      <c r="G592" s="17"/>
    </row>
    <row r="593" spans="2:7" ht="13.2" x14ac:dyDescent="0.25">
      <c r="B593" s="17"/>
      <c r="C593" s="17"/>
      <c r="D593" s="17"/>
      <c r="E593" s="17"/>
      <c r="F593" s="17"/>
      <c r="G593" s="17"/>
    </row>
    <row r="594" spans="2:7" ht="13.2" x14ac:dyDescent="0.25">
      <c r="B594" s="17"/>
      <c r="C594" s="17"/>
      <c r="D594" s="17"/>
      <c r="E594" s="17"/>
      <c r="F594" s="17"/>
      <c r="G594" s="17"/>
    </row>
    <row r="595" spans="2:7" ht="13.2" x14ac:dyDescent="0.25">
      <c r="B595" s="17"/>
      <c r="C595" s="17"/>
      <c r="D595" s="17"/>
      <c r="E595" s="17"/>
      <c r="F595" s="17"/>
      <c r="G595" s="17"/>
    </row>
    <row r="596" spans="2:7" ht="13.2" x14ac:dyDescent="0.25">
      <c r="B596" s="17"/>
      <c r="C596" s="17"/>
      <c r="D596" s="17"/>
      <c r="E596" s="17"/>
      <c r="F596" s="17"/>
      <c r="G596" s="17"/>
    </row>
    <row r="597" spans="2:7" ht="13.2" x14ac:dyDescent="0.25">
      <c r="B597" s="17"/>
      <c r="C597" s="17"/>
      <c r="D597" s="17"/>
      <c r="E597" s="17"/>
      <c r="F597" s="17"/>
      <c r="G597" s="17"/>
    </row>
    <row r="598" spans="2:7" ht="13.2" x14ac:dyDescent="0.25">
      <c r="B598" s="17"/>
      <c r="C598" s="17"/>
      <c r="D598" s="17"/>
      <c r="E598" s="17"/>
      <c r="F598" s="17"/>
      <c r="G598" s="17"/>
    </row>
    <row r="599" spans="2:7" ht="13.2" x14ac:dyDescent="0.25">
      <c r="B599" s="17"/>
      <c r="C599" s="17"/>
      <c r="D599" s="17"/>
      <c r="E599" s="17"/>
      <c r="F599" s="17"/>
      <c r="G599" s="17"/>
    </row>
    <row r="600" spans="2:7" ht="13.2" x14ac:dyDescent="0.25">
      <c r="B600" s="17"/>
      <c r="C600" s="17"/>
      <c r="D600" s="17"/>
      <c r="E600" s="17"/>
      <c r="F600" s="17"/>
      <c r="G600" s="17"/>
    </row>
    <row r="601" spans="2:7" ht="13.2" x14ac:dyDescent="0.25">
      <c r="B601" s="17"/>
      <c r="C601" s="17"/>
      <c r="D601" s="17"/>
      <c r="E601" s="17"/>
      <c r="F601" s="17"/>
      <c r="G601" s="17"/>
    </row>
    <row r="602" spans="2:7" ht="13.2" x14ac:dyDescent="0.25">
      <c r="B602" s="17"/>
      <c r="C602" s="17"/>
      <c r="D602" s="17"/>
      <c r="E602" s="17"/>
      <c r="F602" s="17"/>
      <c r="G602" s="17"/>
    </row>
    <row r="603" spans="2:7" ht="13.2" x14ac:dyDescent="0.25">
      <c r="B603" s="17"/>
      <c r="C603" s="17"/>
      <c r="D603" s="17"/>
      <c r="E603" s="17"/>
      <c r="F603" s="17"/>
      <c r="G603" s="17"/>
    </row>
    <row r="604" spans="2:7" ht="13.2" x14ac:dyDescent="0.25">
      <c r="B604" s="17"/>
      <c r="C604" s="17"/>
      <c r="D604" s="17"/>
      <c r="E604" s="17"/>
      <c r="F604" s="17"/>
      <c r="G604" s="17"/>
    </row>
    <row r="605" spans="2:7" ht="13.2" x14ac:dyDescent="0.25">
      <c r="B605" s="17"/>
      <c r="C605" s="17"/>
      <c r="D605" s="17"/>
      <c r="E605" s="17"/>
      <c r="F605" s="17"/>
      <c r="G605" s="17"/>
    </row>
    <row r="606" spans="2:7" ht="13.2" x14ac:dyDescent="0.25">
      <c r="B606" s="17"/>
      <c r="C606" s="17"/>
      <c r="D606" s="17"/>
      <c r="E606" s="17"/>
      <c r="F606" s="17"/>
      <c r="G606" s="17"/>
    </row>
    <row r="607" spans="2:7" ht="13.2" x14ac:dyDescent="0.25">
      <c r="B607" s="17"/>
      <c r="C607" s="17"/>
      <c r="D607" s="17"/>
      <c r="E607" s="17"/>
      <c r="F607" s="17"/>
      <c r="G607" s="17"/>
    </row>
    <row r="608" spans="2:7" ht="13.2" x14ac:dyDescent="0.25">
      <c r="B608" s="17"/>
      <c r="C608" s="17"/>
      <c r="D608" s="17"/>
      <c r="E608" s="17"/>
      <c r="F608" s="17"/>
      <c r="G608" s="17"/>
    </row>
    <row r="609" spans="2:7" ht="13.2" x14ac:dyDescent="0.25">
      <c r="B609" s="17"/>
      <c r="C609" s="17"/>
      <c r="D609" s="17"/>
      <c r="E609" s="17"/>
      <c r="F609" s="17"/>
      <c r="G609" s="17"/>
    </row>
    <row r="610" spans="2:7" ht="13.2" x14ac:dyDescent="0.25">
      <c r="B610" s="17"/>
      <c r="C610" s="17"/>
      <c r="D610" s="17"/>
      <c r="E610" s="17"/>
      <c r="F610" s="17"/>
      <c r="G610" s="17"/>
    </row>
    <row r="611" spans="2:7" ht="13.2" x14ac:dyDescent="0.25">
      <c r="B611" s="17"/>
      <c r="C611" s="17"/>
      <c r="D611" s="17"/>
      <c r="E611" s="17"/>
      <c r="F611" s="17"/>
      <c r="G611" s="17"/>
    </row>
    <row r="612" spans="2:7" ht="13.2" x14ac:dyDescent="0.25">
      <c r="B612" s="17"/>
      <c r="C612" s="17"/>
      <c r="D612" s="17"/>
      <c r="E612" s="17"/>
      <c r="F612" s="17"/>
      <c r="G612" s="17"/>
    </row>
    <row r="613" spans="2:7" ht="13.2" x14ac:dyDescent="0.25">
      <c r="B613" s="17"/>
      <c r="C613" s="17"/>
      <c r="D613" s="17"/>
      <c r="E613" s="17"/>
      <c r="F613" s="17"/>
      <c r="G613" s="17"/>
    </row>
    <row r="614" spans="2:7" ht="13.2" x14ac:dyDescent="0.25">
      <c r="B614" s="17"/>
      <c r="C614" s="17"/>
      <c r="D614" s="17"/>
      <c r="E614" s="17"/>
      <c r="F614" s="17"/>
      <c r="G614" s="17"/>
    </row>
    <row r="615" spans="2:7" ht="13.2" x14ac:dyDescent="0.25">
      <c r="B615" s="17"/>
      <c r="C615" s="17"/>
      <c r="D615" s="17"/>
      <c r="E615" s="17"/>
      <c r="F615" s="17"/>
      <c r="G615" s="17"/>
    </row>
    <row r="616" spans="2:7" ht="13.2" x14ac:dyDescent="0.25">
      <c r="B616" s="17"/>
      <c r="C616" s="17"/>
      <c r="D616" s="17"/>
      <c r="E616" s="17"/>
      <c r="F616" s="17"/>
      <c r="G616" s="17"/>
    </row>
    <row r="617" spans="2:7" ht="13.2" x14ac:dyDescent="0.25">
      <c r="B617" s="17"/>
      <c r="C617" s="17"/>
      <c r="D617" s="17"/>
      <c r="E617" s="17"/>
      <c r="F617" s="17"/>
      <c r="G617" s="17"/>
    </row>
    <row r="618" spans="2:7" ht="13.2" x14ac:dyDescent="0.25">
      <c r="B618" s="17"/>
      <c r="C618" s="17"/>
      <c r="D618" s="17"/>
      <c r="E618" s="17"/>
      <c r="F618" s="17"/>
      <c r="G618" s="17"/>
    </row>
    <row r="619" spans="2:7" ht="13.2" x14ac:dyDescent="0.25">
      <c r="B619" s="17"/>
      <c r="C619" s="17"/>
      <c r="D619" s="17"/>
      <c r="E619" s="17"/>
      <c r="F619" s="17"/>
      <c r="G619" s="17"/>
    </row>
    <row r="620" spans="2:7" ht="13.2" x14ac:dyDescent="0.25">
      <c r="B620" s="17"/>
      <c r="C620" s="17"/>
      <c r="D620" s="17"/>
      <c r="E620" s="17"/>
      <c r="F620" s="17"/>
      <c r="G620" s="17"/>
    </row>
    <row r="621" spans="2:7" ht="13.2" x14ac:dyDescent="0.25">
      <c r="B621" s="17"/>
      <c r="C621" s="17"/>
      <c r="D621" s="17"/>
      <c r="E621" s="17"/>
      <c r="F621" s="17"/>
      <c r="G621" s="17"/>
    </row>
    <row r="622" spans="2:7" ht="13.2" x14ac:dyDescent="0.25">
      <c r="B622" s="17"/>
      <c r="C622" s="17"/>
      <c r="D622" s="17"/>
      <c r="E622" s="17"/>
      <c r="F622" s="17"/>
      <c r="G622" s="17"/>
    </row>
    <row r="623" spans="2:7" ht="13.2" x14ac:dyDescent="0.25">
      <c r="B623" s="17"/>
      <c r="C623" s="17"/>
      <c r="D623" s="17"/>
      <c r="E623" s="17"/>
      <c r="F623" s="17"/>
      <c r="G623" s="17"/>
    </row>
    <row r="624" spans="2:7" ht="13.2" x14ac:dyDescent="0.25">
      <c r="B624" s="17"/>
      <c r="C624" s="17"/>
      <c r="D624" s="17"/>
      <c r="E624" s="17"/>
      <c r="F624" s="17"/>
      <c r="G624" s="17"/>
    </row>
    <row r="625" spans="2:7" ht="13.2" x14ac:dyDescent="0.25">
      <c r="B625" s="17"/>
      <c r="C625" s="17"/>
      <c r="D625" s="17"/>
      <c r="E625" s="17"/>
      <c r="F625" s="17"/>
      <c r="G625" s="17"/>
    </row>
    <row r="626" spans="2:7" ht="13.2" x14ac:dyDescent="0.25">
      <c r="B626" s="17"/>
      <c r="C626" s="17"/>
      <c r="D626" s="17"/>
      <c r="E626" s="17"/>
      <c r="F626" s="17"/>
      <c r="G626" s="17"/>
    </row>
    <row r="627" spans="2:7" ht="13.2" x14ac:dyDescent="0.25">
      <c r="B627" s="17"/>
      <c r="C627" s="17"/>
      <c r="D627" s="17"/>
      <c r="E627" s="17"/>
      <c r="F627" s="17"/>
      <c r="G627" s="17"/>
    </row>
    <row r="628" spans="2:7" ht="13.2" x14ac:dyDescent="0.25">
      <c r="B628" s="17"/>
      <c r="C628" s="17"/>
      <c r="D628" s="17"/>
      <c r="E628" s="17"/>
      <c r="F628" s="17"/>
      <c r="G628" s="17"/>
    </row>
    <row r="629" spans="2:7" ht="13.2" x14ac:dyDescent="0.25">
      <c r="B629" s="17"/>
      <c r="C629" s="17"/>
      <c r="D629" s="17"/>
      <c r="E629" s="17"/>
      <c r="F629" s="17"/>
      <c r="G629" s="17"/>
    </row>
    <row r="630" spans="2:7" ht="13.2" x14ac:dyDescent="0.25">
      <c r="B630" s="17"/>
      <c r="C630" s="17"/>
      <c r="D630" s="17"/>
      <c r="E630" s="17"/>
      <c r="F630" s="17"/>
      <c r="G630" s="17"/>
    </row>
    <row r="631" spans="2:7" ht="13.2" x14ac:dyDescent="0.25">
      <c r="B631" s="17"/>
      <c r="C631" s="17"/>
      <c r="D631" s="17"/>
      <c r="E631" s="17"/>
      <c r="F631" s="17"/>
      <c r="G631" s="17"/>
    </row>
    <row r="632" spans="2:7" ht="13.2" x14ac:dyDescent="0.25">
      <c r="B632" s="17"/>
      <c r="C632" s="17"/>
      <c r="D632" s="17"/>
      <c r="E632" s="17"/>
      <c r="F632" s="17"/>
      <c r="G632" s="17"/>
    </row>
    <row r="633" spans="2:7" ht="13.2" x14ac:dyDescent="0.25">
      <c r="B633" s="17"/>
      <c r="C633" s="17"/>
      <c r="D633" s="17"/>
      <c r="E633" s="17"/>
      <c r="F633" s="17"/>
      <c r="G633" s="17"/>
    </row>
    <row r="634" spans="2:7" ht="13.2" x14ac:dyDescent="0.25">
      <c r="B634" s="17"/>
      <c r="C634" s="17"/>
      <c r="D634" s="17"/>
      <c r="E634" s="17"/>
      <c r="F634" s="17"/>
      <c r="G634" s="17"/>
    </row>
    <row r="635" spans="2:7" ht="13.2" x14ac:dyDescent="0.25">
      <c r="B635" s="17"/>
      <c r="C635" s="17"/>
      <c r="D635" s="17"/>
      <c r="E635" s="17"/>
      <c r="F635" s="17"/>
      <c r="G635" s="17"/>
    </row>
    <row r="636" spans="2:7" ht="13.2" x14ac:dyDescent="0.25">
      <c r="B636" s="17"/>
      <c r="C636" s="17"/>
      <c r="D636" s="17"/>
      <c r="E636" s="17"/>
      <c r="F636" s="17"/>
      <c r="G636" s="17"/>
    </row>
    <row r="637" spans="2:7" ht="13.2" x14ac:dyDescent="0.25">
      <c r="B637" s="17"/>
      <c r="C637" s="17"/>
      <c r="D637" s="17"/>
      <c r="E637" s="17"/>
      <c r="F637" s="17"/>
      <c r="G637" s="17"/>
    </row>
    <row r="638" spans="2:7" ht="13.2" x14ac:dyDescent="0.25">
      <c r="B638" s="17"/>
      <c r="C638" s="17"/>
      <c r="D638" s="17"/>
      <c r="E638" s="17"/>
      <c r="F638" s="17"/>
      <c r="G638" s="17"/>
    </row>
    <row r="639" spans="2:7" ht="13.2" x14ac:dyDescent="0.25">
      <c r="B639" s="17"/>
      <c r="C639" s="17"/>
      <c r="D639" s="17"/>
      <c r="E639" s="17"/>
      <c r="F639" s="17"/>
      <c r="G639" s="17"/>
    </row>
    <row r="640" spans="2:7" ht="13.2" x14ac:dyDescent="0.25">
      <c r="B640" s="17"/>
      <c r="C640" s="17"/>
      <c r="D640" s="17"/>
      <c r="E640" s="17"/>
      <c r="F640" s="17"/>
      <c r="G640" s="17"/>
    </row>
    <row r="641" spans="2:7" ht="13.2" x14ac:dyDescent="0.25">
      <c r="B641" s="17"/>
      <c r="C641" s="17"/>
      <c r="D641" s="17"/>
      <c r="E641" s="17"/>
      <c r="F641" s="17"/>
      <c r="G641" s="17"/>
    </row>
    <row r="642" spans="2:7" ht="13.2" x14ac:dyDescent="0.25">
      <c r="B642" s="17"/>
      <c r="C642" s="17"/>
      <c r="D642" s="17"/>
      <c r="E642" s="17"/>
      <c r="F642" s="17"/>
      <c r="G642" s="17"/>
    </row>
    <row r="643" spans="2:7" ht="13.2" x14ac:dyDescent="0.25">
      <c r="B643" s="17"/>
      <c r="C643" s="17"/>
      <c r="D643" s="17"/>
      <c r="E643" s="17"/>
      <c r="F643" s="17"/>
      <c r="G643" s="17"/>
    </row>
    <row r="644" spans="2:7" ht="13.2" x14ac:dyDescent="0.25">
      <c r="B644" s="17"/>
      <c r="C644" s="17"/>
      <c r="D644" s="17"/>
      <c r="E644" s="17"/>
      <c r="F644" s="17"/>
      <c r="G644" s="17"/>
    </row>
    <row r="645" spans="2:7" ht="13.2" x14ac:dyDescent="0.25">
      <c r="B645" s="17"/>
      <c r="C645" s="17"/>
      <c r="D645" s="17"/>
      <c r="E645" s="17"/>
      <c r="F645" s="17"/>
      <c r="G645" s="17"/>
    </row>
    <row r="646" spans="2:7" ht="13.2" x14ac:dyDescent="0.25">
      <c r="B646" s="17"/>
      <c r="C646" s="17"/>
      <c r="D646" s="17"/>
      <c r="E646" s="17"/>
      <c r="F646" s="17"/>
      <c r="G646" s="17"/>
    </row>
    <row r="647" spans="2:7" ht="13.2" x14ac:dyDescent="0.25">
      <c r="B647" s="17"/>
      <c r="C647" s="17"/>
      <c r="D647" s="17"/>
      <c r="E647" s="17"/>
      <c r="F647" s="17"/>
      <c r="G647" s="17"/>
    </row>
    <row r="648" spans="2:7" ht="13.2" x14ac:dyDescent="0.25">
      <c r="B648" s="17"/>
      <c r="C648" s="17"/>
      <c r="D648" s="17"/>
      <c r="E648" s="17"/>
      <c r="F648" s="17"/>
      <c r="G648" s="17"/>
    </row>
    <row r="649" spans="2:7" ht="13.2" x14ac:dyDescent="0.25">
      <c r="B649" s="17"/>
      <c r="C649" s="17"/>
      <c r="D649" s="17"/>
      <c r="E649" s="17"/>
      <c r="F649" s="17"/>
      <c r="G649" s="17"/>
    </row>
    <row r="650" spans="2:7" ht="13.2" x14ac:dyDescent="0.25">
      <c r="B650" s="17"/>
      <c r="C650" s="17"/>
      <c r="D650" s="17"/>
      <c r="E650" s="17"/>
      <c r="F650" s="17"/>
      <c r="G650" s="17"/>
    </row>
    <row r="651" spans="2:7" ht="13.2" x14ac:dyDescent="0.25">
      <c r="B651" s="17"/>
      <c r="C651" s="17"/>
      <c r="D651" s="17"/>
      <c r="E651" s="17"/>
      <c r="F651" s="17"/>
      <c r="G651" s="17"/>
    </row>
    <row r="652" spans="2:7" ht="13.2" x14ac:dyDescent="0.25">
      <c r="B652" s="17"/>
      <c r="C652" s="17"/>
      <c r="D652" s="17"/>
      <c r="E652" s="17"/>
      <c r="F652" s="17"/>
      <c r="G652" s="17"/>
    </row>
    <row r="653" spans="2:7" ht="13.2" x14ac:dyDescent="0.25">
      <c r="B653" s="17"/>
      <c r="C653" s="17"/>
      <c r="D653" s="17"/>
      <c r="E653" s="17"/>
      <c r="F653" s="17"/>
      <c r="G653" s="17"/>
    </row>
    <row r="654" spans="2:7" ht="13.2" x14ac:dyDescent="0.25">
      <c r="B654" s="17"/>
      <c r="C654" s="17"/>
      <c r="D654" s="17"/>
      <c r="E654" s="17"/>
      <c r="F654" s="17"/>
      <c r="G654" s="17"/>
    </row>
    <row r="655" spans="2:7" ht="13.2" x14ac:dyDescent="0.25">
      <c r="B655" s="17"/>
      <c r="C655" s="17"/>
      <c r="D655" s="17"/>
      <c r="E655" s="17"/>
      <c r="F655" s="17"/>
      <c r="G655" s="17"/>
    </row>
    <row r="656" spans="2:7" ht="13.2" x14ac:dyDescent="0.25">
      <c r="B656" s="17"/>
      <c r="C656" s="17"/>
      <c r="D656" s="17"/>
      <c r="E656" s="17"/>
      <c r="F656" s="17"/>
      <c r="G656" s="17"/>
    </row>
    <row r="657" spans="2:7" ht="13.2" x14ac:dyDescent="0.25">
      <c r="B657" s="17"/>
      <c r="C657" s="17"/>
      <c r="D657" s="17"/>
      <c r="E657" s="17"/>
      <c r="F657" s="17"/>
      <c r="G657" s="17"/>
    </row>
    <row r="658" spans="2:7" ht="13.2" x14ac:dyDescent="0.25">
      <c r="B658" s="17"/>
      <c r="C658" s="17"/>
      <c r="D658" s="17"/>
      <c r="E658" s="17"/>
      <c r="F658" s="17"/>
      <c r="G658" s="17"/>
    </row>
    <row r="659" spans="2:7" ht="13.2" x14ac:dyDescent="0.25">
      <c r="B659" s="17"/>
      <c r="C659" s="17"/>
      <c r="D659" s="17"/>
      <c r="E659" s="17"/>
      <c r="F659" s="17"/>
      <c r="G659" s="17"/>
    </row>
    <row r="660" spans="2:7" ht="13.2" x14ac:dyDescent="0.25">
      <c r="B660" s="17"/>
      <c r="C660" s="17"/>
      <c r="D660" s="17"/>
      <c r="E660" s="17"/>
      <c r="F660" s="17"/>
      <c r="G660" s="17"/>
    </row>
    <row r="661" spans="2:7" ht="13.2" x14ac:dyDescent="0.25">
      <c r="B661" s="17"/>
      <c r="C661" s="17"/>
      <c r="D661" s="17"/>
      <c r="E661" s="17"/>
      <c r="F661" s="17"/>
      <c r="G661" s="17"/>
    </row>
    <row r="662" spans="2:7" ht="13.2" x14ac:dyDescent="0.25">
      <c r="B662" s="17"/>
      <c r="C662" s="17"/>
      <c r="D662" s="17"/>
      <c r="E662" s="17"/>
      <c r="F662" s="17"/>
      <c r="G662" s="17"/>
    </row>
    <row r="663" spans="2:7" ht="13.2" x14ac:dyDescent="0.25">
      <c r="B663" s="17"/>
      <c r="C663" s="17"/>
      <c r="D663" s="17"/>
      <c r="E663" s="17"/>
      <c r="F663" s="17"/>
      <c r="G663" s="17"/>
    </row>
    <row r="664" spans="2:7" ht="13.2" x14ac:dyDescent="0.25">
      <c r="B664" s="17"/>
      <c r="C664" s="17"/>
      <c r="D664" s="17"/>
      <c r="E664" s="17"/>
      <c r="F664" s="17"/>
      <c r="G664" s="17"/>
    </row>
    <row r="665" spans="2:7" ht="13.2" x14ac:dyDescent="0.25">
      <c r="B665" s="17"/>
      <c r="C665" s="17"/>
      <c r="D665" s="17"/>
      <c r="E665" s="17"/>
      <c r="F665" s="17"/>
      <c r="G665" s="17"/>
    </row>
    <row r="666" spans="2:7" ht="13.2" x14ac:dyDescent="0.25">
      <c r="B666" s="17"/>
      <c r="C666" s="17"/>
      <c r="D666" s="17"/>
      <c r="E666" s="17"/>
      <c r="F666" s="17"/>
      <c r="G666" s="17"/>
    </row>
    <row r="667" spans="2:7" ht="13.2" x14ac:dyDescent="0.25">
      <c r="B667" s="17"/>
      <c r="C667" s="17"/>
      <c r="D667" s="17"/>
      <c r="E667" s="17"/>
      <c r="F667" s="17"/>
      <c r="G667" s="17"/>
    </row>
    <row r="668" spans="2:7" ht="13.2" x14ac:dyDescent="0.25">
      <c r="B668" s="17"/>
      <c r="C668" s="17"/>
      <c r="D668" s="17"/>
      <c r="E668" s="17"/>
      <c r="F668" s="17"/>
      <c r="G668" s="17"/>
    </row>
    <row r="669" spans="2:7" ht="13.2" x14ac:dyDescent="0.25">
      <c r="B669" s="17"/>
      <c r="C669" s="17"/>
      <c r="D669" s="17"/>
      <c r="E669" s="17"/>
      <c r="F669" s="17"/>
      <c r="G669" s="17"/>
    </row>
    <row r="670" spans="2:7" ht="13.2" x14ac:dyDescent="0.25">
      <c r="B670" s="17"/>
      <c r="C670" s="17"/>
      <c r="D670" s="17"/>
      <c r="E670" s="17"/>
      <c r="F670" s="17"/>
      <c r="G670" s="17"/>
    </row>
    <row r="671" spans="2:7" ht="13.2" x14ac:dyDescent="0.25">
      <c r="B671" s="17"/>
      <c r="C671" s="17"/>
      <c r="D671" s="17"/>
      <c r="E671" s="17"/>
      <c r="F671" s="17"/>
      <c r="G671" s="17"/>
    </row>
    <row r="672" spans="2:7" ht="13.2" x14ac:dyDescent="0.25">
      <c r="B672" s="17"/>
      <c r="C672" s="17"/>
      <c r="D672" s="17"/>
      <c r="E672" s="17"/>
      <c r="F672" s="17"/>
      <c r="G672" s="17"/>
    </row>
    <row r="673" spans="2:7" ht="13.2" x14ac:dyDescent="0.25">
      <c r="B673" s="17"/>
      <c r="C673" s="17"/>
      <c r="D673" s="17"/>
      <c r="E673" s="17"/>
      <c r="F673" s="17"/>
      <c r="G673" s="17"/>
    </row>
    <row r="674" spans="2:7" ht="13.2" x14ac:dyDescent="0.25">
      <c r="B674" s="17"/>
      <c r="C674" s="17"/>
      <c r="D674" s="17"/>
      <c r="E674" s="17"/>
      <c r="F674" s="17"/>
      <c r="G674" s="17"/>
    </row>
    <row r="675" spans="2:7" ht="13.2" x14ac:dyDescent="0.25">
      <c r="B675" s="17"/>
      <c r="C675" s="17"/>
      <c r="D675" s="17"/>
      <c r="E675" s="17"/>
      <c r="F675" s="17"/>
      <c r="G675" s="17"/>
    </row>
    <row r="676" spans="2:7" ht="13.2" x14ac:dyDescent="0.25">
      <c r="B676" s="17"/>
      <c r="C676" s="17"/>
      <c r="D676" s="17"/>
      <c r="E676" s="17"/>
      <c r="F676" s="17"/>
      <c r="G676" s="17"/>
    </row>
    <row r="677" spans="2:7" ht="13.2" x14ac:dyDescent="0.25">
      <c r="B677" s="17"/>
      <c r="C677" s="17"/>
      <c r="D677" s="17"/>
      <c r="E677" s="17"/>
      <c r="F677" s="17"/>
      <c r="G677" s="17"/>
    </row>
    <row r="678" spans="2:7" ht="13.2" x14ac:dyDescent="0.25">
      <c r="B678" s="17"/>
      <c r="C678" s="17"/>
      <c r="D678" s="17"/>
      <c r="E678" s="17"/>
      <c r="F678" s="17"/>
      <c r="G678" s="17"/>
    </row>
    <row r="679" spans="2:7" ht="13.2" x14ac:dyDescent="0.25">
      <c r="B679" s="17"/>
      <c r="C679" s="17"/>
      <c r="D679" s="17"/>
      <c r="E679" s="17"/>
      <c r="F679" s="17"/>
      <c r="G679" s="17"/>
    </row>
    <row r="680" spans="2:7" ht="13.2" x14ac:dyDescent="0.25">
      <c r="B680" s="17"/>
      <c r="C680" s="17"/>
      <c r="D680" s="17"/>
      <c r="E680" s="17"/>
      <c r="F680" s="17"/>
      <c r="G680" s="17"/>
    </row>
    <row r="681" spans="2:7" ht="13.2" x14ac:dyDescent="0.25">
      <c r="B681" s="17"/>
      <c r="C681" s="17"/>
      <c r="D681" s="17"/>
      <c r="E681" s="17"/>
      <c r="F681" s="17"/>
      <c r="G681" s="17"/>
    </row>
    <row r="682" spans="2:7" ht="13.2" x14ac:dyDescent="0.25">
      <c r="B682" s="17"/>
      <c r="C682" s="17"/>
      <c r="D682" s="17"/>
      <c r="E682" s="17"/>
      <c r="F682" s="17"/>
      <c r="G682" s="17"/>
    </row>
    <row r="683" spans="2:7" ht="13.2" x14ac:dyDescent="0.25">
      <c r="B683" s="17"/>
      <c r="C683" s="17"/>
      <c r="D683" s="17"/>
      <c r="E683" s="17"/>
      <c r="F683" s="17"/>
      <c r="G683" s="17"/>
    </row>
    <row r="684" spans="2:7" ht="13.2" x14ac:dyDescent="0.25">
      <c r="B684" s="17"/>
      <c r="C684" s="17"/>
      <c r="D684" s="17"/>
      <c r="E684" s="17"/>
      <c r="F684" s="17"/>
      <c r="G684" s="17"/>
    </row>
    <row r="685" spans="2:7" ht="13.2" x14ac:dyDescent="0.25">
      <c r="B685" s="17"/>
      <c r="C685" s="17"/>
      <c r="D685" s="17"/>
      <c r="E685" s="17"/>
      <c r="F685" s="17"/>
      <c r="G685" s="17"/>
    </row>
    <row r="686" spans="2:7" ht="13.2" x14ac:dyDescent="0.25">
      <c r="B686" s="17"/>
      <c r="C686" s="17"/>
      <c r="D686" s="17"/>
      <c r="E686" s="17"/>
      <c r="F686" s="17"/>
      <c r="G686" s="17"/>
    </row>
    <row r="687" spans="2:7" ht="13.2" x14ac:dyDescent="0.25">
      <c r="B687" s="17"/>
      <c r="C687" s="17"/>
      <c r="D687" s="17"/>
      <c r="E687" s="17"/>
      <c r="F687" s="17"/>
      <c r="G687" s="17"/>
    </row>
    <row r="688" spans="2:7" ht="13.2" x14ac:dyDescent="0.25">
      <c r="B688" s="17"/>
      <c r="C688" s="17"/>
      <c r="D688" s="17"/>
      <c r="E688" s="17"/>
      <c r="F688" s="17"/>
      <c r="G688" s="17"/>
    </row>
    <row r="689" spans="2:7" ht="13.2" x14ac:dyDescent="0.25">
      <c r="B689" s="17"/>
      <c r="C689" s="17"/>
      <c r="D689" s="17"/>
      <c r="E689" s="17"/>
      <c r="F689" s="17"/>
      <c r="G689" s="17"/>
    </row>
    <row r="690" spans="2:7" ht="13.2" x14ac:dyDescent="0.25">
      <c r="B690" s="17"/>
      <c r="C690" s="17"/>
      <c r="D690" s="17"/>
      <c r="E690" s="17"/>
      <c r="F690" s="17"/>
      <c r="G690" s="17"/>
    </row>
    <row r="691" spans="2:7" ht="13.2" x14ac:dyDescent="0.25">
      <c r="B691" s="17"/>
      <c r="C691" s="17"/>
      <c r="D691" s="17"/>
      <c r="E691" s="17"/>
      <c r="F691" s="17"/>
      <c r="G691" s="17"/>
    </row>
    <row r="692" spans="2:7" ht="13.2" x14ac:dyDescent="0.25">
      <c r="B692" s="17"/>
      <c r="C692" s="17"/>
      <c r="D692" s="17"/>
      <c r="E692" s="17"/>
      <c r="F692" s="17"/>
      <c r="G692" s="17"/>
    </row>
    <row r="693" spans="2:7" ht="13.2" x14ac:dyDescent="0.25">
      <c r="B693" s="17"/>
      <c r="C693" s="17"/>
      <c r="D693" s="17"/>
      <c r="E693" s="17"/>
      <c r="F693" s="17"/>
      <c r="G693" s="17"/>
    </row>
    <row r="694" spans="2:7" ht="13.2" x14ac:dyDescent="0.25">
      <c r="B694" s="17"/>
      <c r="C694" s="17"/>
      <c r="D694" s="17"/>
      <c r="E694" s="17"/>
      <c r="F694" s="17"/>
      <c r="G694" s="17"/>
    </row>
    <row r="695" spans="2:7" ht="13.2" x14ac:dyDescent="0.25">
      <c r="B695" s="17"/>
      <c r="C695" s="17"/>
      <c r="D695" s="17"/>
      <c r="E695" s="17"/>
      <c r="F695" s="17"/>
      <c r="G695" s="17"/>
    </row>
    <row r="696" spans="2:7" ht="13.2" x14ac:dyDescent="0.25">
      <c r="B696" s="17"/>
      <c r="C696" s="17"/>
      <c r="D696" s="17"/>
      <c r="E696" s="17"/>
      <c r="F696" s="17"/>
      <c r="G696" s="17"/>
    </row>
    <row r="697" spans="2:7" ht="13.2" x14ac:dyDescent="0.25">
      <c r="B697" s="17"/>
      <c r="C697" s="17"/>
      <c r="D697" s="17"/>
      <c r="E697" s="17"/>
      <c r="F697" s="17"/>
      <c r="G697" s="17"/>
    </row>
    <row r="698" spans="2:7" ht="13.2" x14ac:dyDescent="0.25">
      <c r="B698" s="17"/>
      <c r="C698" s="17"/>
      <c r="D698" s="17"/>
      <c r="E698" s="17"/>
      <c r="F698" s="17"/>
      <c r="G698" s="17"/>
    </row>
    <row r="699" spans="2:7" ht="13.2" x14ac:dyDescent="0.25">
      <c r="B699" s="17"/>
      <c r="C699" s="17"/>
      <c r="D699" s="17"/>
      <c r="E699" s="17"/>
      <c r="F699" s="17"/>
      <c r="G699" s="17"/>
    </row>
    <row r="700" spans="2:7" ht="13.2" x14ac:dyDescent="0.25">
      <c r="B700" s="17"/>
      <c r="C700" s="17"/>
      <c r="D700" s="17"/>
      <c r="E700" s="17"/>
      <c r="F700" s="17"/>
      <c r="G700" s="17"/>
    </row>
    <row r="701" spans="2:7" ht="13.2" x14ac:dyDescent="0.25">
      <c r="B701" s="17"/>
      <c r="C701" s="17"/>
      <c r="D701" s="17"/>
      <c r="E701" s="17"/>
      <c r="F701" s="17"/>
      <c r="G701" s="17"/>
    </row>
    <row r="702" spans="2:7" ht="13.2" x14ac:dyDescent="0.25">
      <c r="B702" s="17"/>
      <c r="C702" s="17"/>
      <c r="D702" s="17"/>
      <c r="E702" s="17"/>
      <c r="F702" s="17"/>
      <c r="G702" s="17"/>
    </row>
    <row r="703" spans="2:7" ht="13.2" x14ac:dyDescent="0.25">
      <c r="B703" s="17"/>
      <c r="C703" s="17"/>
      <c r="D703" s="17"/>
      <c r="E703" s="17"/>
      <c r="F703" s="17"/>
      <c r="G703" s="17"/>
    </row>
    <row r="704" spans="2:7" ht="13.2" x14ac:dyDescent="0.25">
      <c r="B704" s="17"/>
      <c r="C704" s="17"/>
      <c r="D704" s="17"/>
      <c r="E704" s="17"/>
      <c r="F704" s="17"/>
      <c r="G704" s="17"/>
    </row>
    <row r="705" spans="2:7" ht="13.2" x14ac:dyDescent="0.25">
      <c r="B705" s="17"/>
      <c r="C705" s="17"/>
      <c r="D705" s="17"/>
      <c r="E705" s="17"/>
      <c r="F705" s="17"/>
      <c r="G705" s="17"/>
    </row>
    <row r="706" spans="2:7" ht="13.2" x14ac:dyDescent="0.25">
      <c r="B706" s="17"/>
      <c r="C706" s="17"/>
      <c r="D706" s="17"/>
      <c r="E706" s="17"/>
      <c r="F706" s="17"/>
      <c r="G706" s="17"/>
    </row>
    <row r="707" spans="2:7" ht="13.2" x14ac:dyDescent="0.25">
      <c r="B707" s="17"/>
      <c r="C707" s="17"/>
      <c r="D707" s="17"/>
      <c r="E707" s="17"/>
      <c r="F707" s="17"/>
      <c r="G707" s="17"/>
    </row>
    <row r="708" spans="2:7" ht="13.2" x14ac:dyDescent="0.25">
      <c r="B708" s="17"/>
      <c r="C708" s="17"/>
      <c r="D708" s="17"/>
      <c r="E708" s="17"/>
      <c r="F708" s="17"/>
      <c r="G708" s="17"/>
    </row>
    <row r="709" spans="2:7" ht="13.2" x14ac:dyDescent="0.25">
      <c r="B709" s="17"/>
      <c r="C709" s="17"/>
      <c r="D709" s="17"/>
      <c r="E709" s="17"/>
      <c r="F709" s="17"/>
      <c r="G709" s="17"/>
    </row>
    <row r="710" spans="2:7" ht="13.2" x14ac:dyDescent="0.25">
      <c r="B710" s="17"/>
      <c r="C710" s="17"/>
      <c r="D710" s="17"/>
      <c r="E710" s="17"/>
      <c r="F710" s="17"/>
      <c r="G710" s="17"/>
    </row>
    <row r="711" spans="2:7" ht="13.2" x14ac:dyDescent="0.25">
      <c r="B711" s="17"/>
      <c r="C711" s="17"/>
      <c r="D711" s="17"/>
      <c r="E711" s="17"/>
      <c r="F711" s="17"/>
      <c r="G711" s="17"/>
    </row>
    <row r="712" spans="2:7" ht="13.2" x14ac:dyDescent="0.25">
      <c r="B712" s="17"/>
      <c r="C712" s="17"/>
      <c r="D712" s="17"/>
      <c r="E712" s="17"/>
      <c r="F712" s="17"/>
      <c r="G712" s="17"/>
    </row>
    <row r="713" spans="2:7" ht="13.2" x14ac:dyDescent="0.25">
      <c r="B713" s="17"/>
      <c r="C713" s="17"/>
      <c r="D713" s="17"/>
      <c r="E713" s="17"/>
      <c r="F713" s="17"/>
      <c r="G713" s="17"/>
    </row>
    <row r="714" spans="2:7" ht="13.2" x14ac:dyDescent="0.25">
      <c r="B714" s="17"/>
      <c r="C714" s="17"/>
      <c r="D714" s="17"/>
      <c r="E714" s="17"/>
      <c r="F714" s="17"/>
      <c r="G714" s="17"/>
    </row>
    <row r="715" spans="2:7" ht="13.2" x14ac:dyDescent="0.25">
      <c r="B715" s="17"/>
      <c r="C715" s="17"/>
      <c r="D715" s="17"/>
      <c r="E715" s="17"/>
      <c r="F715" s="17"/>
      <c r="G715" s="17"/>
    </row>
    <row r="716" spans="2:7" ht="13.2" x14ac:dyDescent="0.25">
      <c r="B716" s="17"/>
      <c r="C716" s="17"/>
      <c r="D716" s="17"/>
      <c r="E716" s="17"/>
      <c r="F716" s="17"/>
      <c r="G716" s="17"/>
    </row>
    <row r="717" spans="2:7" ht="13.2" x14ac:dyDescent="0.25">
      <c r="B717" s="17"/>
      <c r="C717" s="17"/>
      <c r="D717" s="17"/>
      <c r="E717" s="17"/>
      <c r="F717" s="17"/>
      <c r="G717" s="17"/>
    </row>
    <row r="718" spans="2:7" ht="13.2" x14ac:dyDescent="0.25">
      <c r="B718" s="17"/>
      <c r="C718" s="17"/>
      <c r="D718" s="17"/>
      <c r="E718" s="17"/>
      <c r="F718" s="17"/>
      <c r="G718" s="17"/>
    </row>
    <row r="719" spans="2:7" ht="13.2" x14ac:dyDescent="0.25">
      <c r="B719" s="17"/>
      <c r="C719" s="17"/>
      <c r="D719" s="17"/>
      <c r="E719" s="17"/>
      <c r="F719" s="17"/>
      <c r="G719" s="17"/>
    </row>
    <row r="720" spans="2:7" ht="13.2" x14ac:dyDescent="0.25">
      <c r="B720" s="17"/>
      <c r="C720" s="17"/>
      <c r="D720" s="17"/>
      <c r="E720" s="17"/>
      <c r="F720" s="17"/>
      <c r="G720" s="17"/>
    </row>
    <row r="721" spans="2:7" ht="13.2" x14ac:dyDescent="0.25">
      <c r="B721" s="17"/>
      <c r="C721" s="17"/>
      <c r="D721" s="17"/>
      <c r="E721" s="17"/>
      <c r="F721" s="17"/>
      <c r="G721" s="17"/>
    </row>
    <row r="722" spans="2:7" ht="13.2" x14ac:dyDescent="0.25">
      <c r="B722" s="17"/>
      <c r="C722" s="17"/>
      <c r="D722" s="17"/>
      <c r="E722" s="17"/>
      <c r="F722" s="17"/>
      <c r="G722" s="17"/>
    </row>
    <row r="723" spans="2:7" ht="13.2" x14ac:dyDescent="0.25">
      <c r="B723" s="17"/>
      <c r="C723" s="17"/>
      <c r="D723" s="17"/>
      <c r="E723" s="17"/>
      <c r="F723" s="17"/>
      <c r="G723" s="17"/>
    </row>
    <row r="724" spans="2:7" ht="13.2" x14ac:dyDescent="0.25">
      <c r="B724" s="17"/>
      <c r="C724" s="17"/>
      <c r="D724" s="17"/>
      <c r="E724" s="17"/>
      <c r="F724" s="17"/>
      <c r="G724" s="17"/>
    </row>
    <row r="725" spans="2:7" ht="13.2" x14ac:dyDescent="0.25">
      <c r="B725" s="17"/>
      <c r="C725" s="17"/>
      <c r="D725" s="17"/>
      <c r="E725" s="17"/>
      <c r="F725" s="17"/>
      <c r="G725" s="17"/>
    </row>
    <row r="726" spans="2:7" ht="13.2" x14ac:dyDescent="0.25">
      <c r="B726" s="17"/>
      <c r="C726" s="17"/>
      <c r="D726" s="17"/>
      <c r="E726" s="17"/>
      <c r="F726" s="17"/>
      <c r="G726" s="17"/>
    </row>
    <row r="727" spans="2:7" ht="13.2" x14ac:dyDescent="0.25">
      <c r="B727" s="17"/>
      <c r="C727" s="17"/>
      <c r="D727" s="17"/>
      <c r="E727" s="17"/>
      <c r="F727" s="17"/>
      <c r="G727" s="17"/>
    </row>
    <row r="728" spans="2:7" ht="13.2" x14ac:dyDescent="0.25">
      <c r="B728" s="17"/>
      <c r="C728" s="17"/>
      <c r="D728" s="17"/>
      <c r="E728" s="17"/>
      <c r="F728" s="17"/>
      <c r="G728" s="17"/>
    </row>
    <row r="729" spans="2:7" ht="13.2" x14ac:dyDescent="0.25">
      <c r="B729" s="17"/>
      <c r="C729" s="17"/>
      <c r="D729" s="17"/>
      <c r="E729" s="17"/>
      <c r="F729" s="17"/>
      <c r="G729" s="17"/>
    </row>
    <row r="730" spans="2:7" ht="13.2" x14ac:dyDescent="0.25">
      <c r="B730" s="17"/>
      <c r="C730" s="17"/>
      <c r="D730" s="17"/>
      <c r="E730" s="17"/>
      <c r="F730" s="17"/>
      <c r="G730" s="17"/>
    </row>
    <row r="731" spans="2:7" ht="13.2" x14ac:dyDescent="0.25">
      <c r="B731" s="17"/>
      <c r="C731" s="17"/>
      <c r="D731" s="17"/>
      <c r="E731" s="17"/>
      <c r="F731" s="17"/>
      <c r="G731" s="17"/>
    </row>
    <row r="732" spans="2:7" ht="13.2" x14ac:dyDescent="0.25">
      <c r="B732" s="17"/>
      <c r="C732" s="17"/>
      <c r="D732" s="17"/>
      <c r="E732" s="17"/>
      <c r="F732" s="17"/>
      <c r="G732" s="17"/>
    </row>
    <row r="733" spans="2:7" ht="13.2" x14ac:dyDescent="0.25">
      <c r="B733" s="17"/>
      <c r="C733" s="17"/>
      <c r="D733" s="17"/>
      <c r="E733" s="17"/>
      <c r="F733" s="17"/>
      <c r="G733" s="17"/>
    </row>
    <row r="734" spans="2:7" ht="13.2" x14ac:dyDescent="0.25">
      <c r="B734" s="17"/>
      <c r="C734" s="17"/>
      <c r="D734" s="17"/>
      <c r="E734" s="17"/>
      <c r="F734" s="17"/>
      <c r="G734" s="17"/>
    </row>
    <row r="735" spans="2:7" ht="13.2" x14ac:dyDescent="0.25">
      <c r="B735" s="17"/>
      <c r="C735" s="17"/>
      <c r="D735" s="17"/>
      <c r="E735" s="17"/>
      <c r="F735" s="17"/>
      <c r="G735" s="17"/>
    </row>
    <row r="736" spans="2:7" ht="13.2" x14ac:dyDescent="0.25">
      <c r="B736" s="17"/>
      <c r="C736" s="17"/>
      <c r="D736" s="17"/>
      <c r="E736" s="17"/>
      <c r="F736" s="17"/>
      <c r="G736" s="17"/>
    </row>
    <row r="737" spans="2:7" ht="13.2" x14ac:dyDescent="0.25">
      <c r="B737" s="17"/>
      <c r="C737" s="17"/>
      <c r="D737" s="17"/>
      <c r="E737" s="17"/>
      <c r="F737" s="17"/>
      <c r="G737" s="17"/>
    </row>
    <row r="738" spans="2:7" ht="13.2" x14ac:dyDescent="0.25">
      <c r="B738" s="17"/>
      <c r="C738" s="17"/>
      <c r="D738" s="17"/>
      <c r="E738" s="17"/>
      <c r="F738" s="17"/>
      <c r="G738" s="17"/>
    </row>
    <row r="739" spans="2:7" ht="13.2" x14ac:dyDescent="0.25">
      <c r="B739" s="17"/>
      <c r="C739" s="17"/>
      <c r="D739" s="17"/>
      <c r="E739" s="17"/>
      <c r="F739" s="17"/>
      <c r="G739" s="17"/>
    </row>
    <row r="740" spans="2:7" ht="13.2" x14ac:dyDescent="0.25">
      <c r="B740" s="17"/>
      <c r="C740" s="17"/>
      <c r="D740" s="17"/>
      <c r="E740" s="17"/>
      <c r="F740" s="17"/>
      <c r="G740" s="17"/>
    </row>
    <row r="741" spans="2:7" ht="13.2" x14ac:dyDescent="0.25">
      <c r="B741" s="17"/>
      <c r="C741" s="17"/>
      <c r="D741" s="17"/>
      <c r="E741" s="17"/>
      <c r="F741" s="17"/>
      <c r="G741" s="17"/>
    </row>
    <row r="742" spans="2:7" ht="13.2" x14ac:dyDescent="0.25">
      <c r="B742" s="17"/>
      <c r="C742" s="17"/>
      <c r="D742" s="17"/>
      <c r="E742" s="17"/>
      <c r="F742" s="17"/>
      <c r="G742" s="17"/>
    </row>
    <row r="743" spans="2:7" ht="13.2" x14ac:dyDescent="0.25">
      <c r="B743" s="17"/>
      <c r="C743" s="17"/>
      <c r="D743" s="17"/>
      <c r="E743" s="17"/>
      <c r="F743" s="17"/>
      <c r="G743" s="17"/>
    </row>
    <row r="744" spans="2:7" ht="13.2" x14ac:dyDescent="0.25">
      <c r="B744" s="17"/>
      <c r="C744" s="17"/>
      <c r="D744" s="17"/>
      <c r="E744" s="17"/>
      <c r="F744" s="17"/>
      <c r="G744" s="17"/>
    </row>
    <row r="745" spans="2:7" ht="13.2" x14ac:dyDescent="0.25">
      <c r="B745" s="17"/>
      <c r="C745" s="17"/>
      <c r="D745" s="17"/>
      <c r="E745" s="17"/>
      <c r="F745" s="17"/>
      <c r="G745" s="17"/>
    </row>
    <row r="746" spans="2:7" ht="13.2" x14ac:dyDescent="0.25">
      <c r="B746" s="17"/>
      <c r="C746" s="17"/>
      <c r="D746" s="17"/>
      <c r="E746" s="17"/>
      <c r="F746" s="17"/>
      <c r="G746" s="17"/>
    </row>
    <row r="747" spans="2:7" ht="13.2" x14ac:dyDescent="0.25">
      <c r="B747" s="17"/>
      <c r="C747" s="17"/>
      <c r="D747" s="17"/>
      <c r="E747" s="17"/>
      <c r="F747" s="17"/>
      <c r="G747" s="17"/>
    </row>
    <row r="748" spans="2:7" ht="13.2" x14ac:dyDescent="0.25">
      <c r="B748" s="17"/>
      <c r="C748" s="17"/>
      <c r="D748" s="17"/>
      <c r="E748" s="17"/>
      <c r="F748" s="17"/>
      <c r="G748" s="17"/>
    </row>
    <row r="749" spans="2:7" ht="13.2" x14ac:dyDescent="0.25">
      <c r="B749" s="17"/>
      <c r="C749" s="17"/>
      <c r="D749" s="17"/>
      <c r="E749" s="17"/>
      <c r="F749" s="17"/>
      <c r="G749" s="17"/>
    </row>
    <row r="750" spans="2:7" ht="13.2" x14ac:dyDescent="0.25">
      <c r="B750" s="17"/>
      <c r="C750" s="17"/>
      <c r="D750" s="17"/>
      <c r="E750" s="17"/>
      <c r="F750" s="17"/>
      <c r="G750" s="17"/>
    </row>
    <row r="751" spans="2:7" ht="13.2" x14ac:dyDescent="0.25">
      <c r="B751" s="17"/>
      <c r="C751" s="17"/>
      <c r="D751" s="17"/>
      <c r="E751" s="17"/>
      <c r="F751" s="17"/>
      <c r="G751" s="17"/>
    </row>
    <row r="752" spans="2:7" ht="13.2" x14ac:dyDescent="0.25">
      <c r="B752" s="17"/>
      <c r="C752" s="17"/>
      <c r="D752" s="17"/>
      <c r="E752" s="17"/>
      <c r="F752" s="17"/>
      <c r="G752" s="17"/>
    </row>
    <row r="753" spans="2:7" ht="13.2" x14ac:dyDescent="0.25">
      <c r="B753" s="17"/>
      <c r="C753" s="17"/>
      <c r="D753" s="17"/>
      <c r="E753" s="17"/>
      <c r="F753" s="17"/>
      <c r="G753" s="17"/>
    </row>
    <row r="754" spans="2:7" ht="13.2" x14ac:dyDescent="0.25">
      <c r="B754" s="17"/>
      <c r="C754" s="17"/>
      <c r="D754" s="17"/>
      <c r="E754" s="17"/>
      <c r="F754" s="17"/>
      <c r="G754" s="17"/>
    </row>
    <row r="755" spans="2:7" ht="13.2" x14ac:dyDescent="0.25">
      <c r="B755" s="17"/>
      <c r="C755" s="17"/>
      <c r="D755" s="17"/>
      <c r="E755" s="17"/>
      <c r="F755" s="17"/>
      <c r="G755" s="17"/>
    </row>
    <row r="756" spans="2:7" ht="13.2" x14ac:dyDescent="0.25">
      <c r="B756" s="17"/>
      <c r="C756" s="17"/>
      <c r="D756" s="17"/>
      <c r="E756" s="17"/>
      <c r="F756" s="17"/>
      <c r="G756" s="17"/>
    </row>
    <row r="757" spans="2:7" ht="13.2" x14ac:dyDescent="0.25">
      <c r="B757" s="17"/>
      <c r="C757" s="17"/>
      <c r="D757" s="17"/>
      <c r="E757" s="17"/>
      <c r="F757" s="17"/>
      <c r="G757" s="17"/>
    </row>
    <row r="758" spans="2:7" ht="13.2" x14ac:dyDescent="0.25">
      <c r="B758" s="17"/>
      <c r="C758" s="17"/>
      <c r="D758" s="17"/>
      <c r="E758" s="17"/>
      <c r="F758" s="17"/>
      <c r="G758" s="17"/>
    </row>
    <row r="759" spans="2:7" ht="13.2" x14ac:dyDescent="0.25">
      <c r="B759" s="17"/>
      <c r="C759" s="17"/>
      <c r="D759" s="17"/>
      <c r="E759" s="17"/>
      <c r="F759" s="17"/>
      <c r="G759" s="17"/>
    </row>
    <row r="760" spans="2:7" ht="13.2" x14ac:dyDescent="0.25">
      <c r="B760" s="17"/>
      <c r="C760" s="17"/>
      <c r="D760" s="17"/>
      <c r="E760" s="17"/>
      <c r="F760" s="17"/>
      <c r="G760" s="17"/>
    </row>
    <row r="761" spans="2:7" ht="13.2" x14ac:dyDescent="0.25">
      <c r="B761" s="17"/>
      <c r="C761" s="17"/>
      <c r="D761" s="17"/>
      <c r="E761" s="17"/>
      <c r="F761" s="17"/>
      <c r="G761" s="17"/>
    </row>
    <row r="762" spans="2:7" ht="13.2" x14ac:dyDescent="0.25">
      <c r="B762" s="17"/>
      <c r="C762" s="17"/>
      <c r="D762" s="17"/>
      <c r="E762" s="17"/>
      <c r="F762" s="17"/>
      <c r="G762" s="17"/>
    </row>
    <row r="763" spans="2:7" ht="13.2" x14ac:dyDescent="0.25">
      <c r="B763" s="17"/>
      <c r="C763" s="17"/>
      <c r="D763" s="17"/>
      <c r="E763" s="17"/>
      <c r="F763" s="17"/>
      <c r="G763" s="17"/>
    </row>
    <row r="764" spans="2:7" ht="13.2" x14ac:dyDescent="0.25">
      <c r="B764" s="17"/>
      <c r="C764" s="17"/>
      <c r="D764" s="17"/>
      <c r="E764" s="17"/>
      <c r="F764" s="17"/>
      <c r="G764" s="17"/>
    </row>
    <row r="765" spans="2:7" ht="13.2" x14ac:dyDescent="0.25">
      <c r="B765" s="17"/>
      <c r="C765" s="17"/>
      <c r="D765" s="17"/>
      <c r="E765" s="17"/>
      <c r="F765" s="17"/>
      <c r="G765" s="17"/>
    </row>
    <row r="766" spans="2:7" ht="13.2" x14ac:dyDescent="0.25">
      <c r="B766" s="17"/>
      <c r="C766" s="17"/>
      <c r="D766" s="17"/>
      <c r="E766" s="17"/>
      <c r="F766" s="17"/>
      <c r="G766" s="17"/>
    </row>
    <row r="767" spans="2:7" ht="13.2" x14ac:dyDescent="0.25">
      <c r="B767" s="17"/>
      <c r="C767" s="17"/>
      <c r="D767" s="17"/>
      <c r="E767" s="17"/>
      <c r="F767" s="17"/>
      <c r="G767" s="17"/>
    </row>
    <row r="768" spans="2:7" ht="13.2" x14ac:dyDescent="0.25">
      <c r="B768" s="17"/>
      <c r="C768" s="17"/>
      <c r="D768" s="17"/>
      <c r="E768" s="17"/>
      <c r="F768" s="17"/>
      <c r="G768" s="17"/>
    </row>
    <row r="769" spans="2:7" ht="13.2" x14ac:dyDescent="0.25">
      <c r="B769" s="17"/>
      <c r="C769" s="17"/>
      <c r="D769" s="17"/>
      <c r="E769" s="17"/>
      <c r="F769" s="17"/>
      <c r="G769" s="17"/>
    </row>
    <row r="770" spans="2:7" ht="13.2" x14ac:dyDescent="0.25">
      <c r="B770" s="17"/>
      <c r="C770" s="17"/>
      <c r="D770" s="17"/>
      <c r="E770" s="17"/>
      <c r="F770" s="17"/>
      <c r="G770" s="17"/>
    </row>
    <row r="771" spans="2:7" ht="13.2" x14ac:dyDescent="0.25">
      <c r="B771" s="17"/>
      <c r="C771" s="17"/>
      <c r="D771" s="17"/>
      <c r="E771" s="17"/>
      <c r="F771" s="17"/>
      <c r="G771" s="17"/>
    </row>
    <row r="772" spans="2:7" ht="13.2" x14ac:dyDescent="0.25">
      <c r="B772" s="17"/>
      <c r="C772" s="17"/>
      <c r="D772" s="17"/>
      <c r="E772" s="17"/>
      <c r="F772" s="17"/>
      <c r="G772" s="17"/>
    </row>
    <row r="773" spans="2:7" ht="13.2" x14ac:dyDescent="0.25">
      <c r="B773" s="17"/>
      <c r="C773" s="17"/>
      <c r="D773" s="17"/>
      <c r="E773" s="17"/>
      <c r="F773" s="17"/>
      <c r="G773" s="17"/>
    </row>
    <row r="774" spans="2:7" ht="13.2" x14ac:dyDescent="0.25">
      <c r="B774" s="17"/>
      <c r="C774" s="17"/>
      <c r="D774" s="17"/>
      <c r="E774" s="17"/>
      <c r="F774" s="17"/>
      <c r="G774" s="17"/>
    </row>
    <row r="775" spans="2:7" ht="13.2" x14ac:dyDescent="0.25">
      <c r="B775" s="17"/>
      <c r="C775" s="17"/>
      <c r="D775" s="17"/>
      <c r="E775" s="17"/>
      <c r="F775" s="17"/>
      <c r="G775" s="17"/>
    </row>
    <row r="776" spans="2:7" ht="13.2" x14ac:dyDescent="0.25">
      <c r="B776" s="17"/>
      <c r="C776" s="17"/>
      <c r="D776" s="17"/>
      <c r="E776" s="17"/>
      <c r="F776" s="17"/>
      <c r="G776" s="17"/>
    </row>
    <row r="777" spans="2:7" ht="13.2" x14ac:dyDescent="0.25">
      <c r="B777" s="17"/>
      <c r="C777" s="17"/>
      <c r="D777" s="17"/>
      <c r="E777" s="17"/>
      <c r="F777" s="17"/>
      <c r="G777" s="17"/>
    </row>
    <row r="778" spans="2:7" ht="13.2" x14ac:dyDescent="0.25">
      <c r="B778" s="17"/>
      <c r="C778" s="17"/>
      <c r="D778" s="17"/>
      <c r="E778" s="17"/>
      <c r="F778" s="17"/>
      <c r="G778" s="17"/>
    </row>
    <row r="779" spans="2:7" ht="13.2" x14ac:dyDescent="0.25">
      <c r="B779" s="17"/>
      <c r="C779" s="17"/>
      <c r="D779" s="17"/>
      <c r="E779" s="17"/>
      <c r="F779" s="17"/>
      <c r="G779" s="17"/>
    </row>
    <row r="780" spans="2:7" ht="13.2" x14ac:dyDescent="0.25">
      <c r="B780" s="17"/>
      <c r="C780" s="17"/>
      <c r="D780" s="17"/>
      <c r="E780" s="17"/>
      <c r="F780" s="17"/>
      <c r="G780" s="17"/>
    </row>
    <row r="781" spans="2:7" ht="13.2" x14ac:dyDescent="0.25">
      <c r="B781" s="17"/>
      <c r="C781" s="17"/>
      <c r="D781" s="17"/>
      <c r="E781" s="17"/>
      <c r="F781" s="17"/>
      <c r="G781" s="17"/>
    </row>
    <row r="782" spans="2:7" ht="13.2" x14ac:dyDescent="0.25">
      <c r="B782" s="17"/>
      <c r="C782" s="17"/>
      <c r="D782" s="17"/>
      <c r="E782" s="17"/>
      <c r="F782" s="17"/>
      <c r="G782" s="17"/>
    </row>
    <row r="783" spans="2:7" ht="13.2" x14ac:dyDescent="0.25">
      <c r="B783" s="17"/>
      <c r="C783" s="17"/>
      <c r="D783" s="17"/>
      <c r="E783" s="17"/>
      <c r="F783" s="17"/>
      <c r="G783" s="17"/>
    </row>
    <row r="784" spans="2:7" ht="13.2" x14ac:dyDescent="0.25">
      <c r="B784" s="17"/>
      <c r="C784" s="17"/>
      <c r="D784" s="17"/>
      <c r="E784" s="17"/>
      <c r="F784" s="17"/>
      <c r="G784" s="17"/>
    </row>
    <row r="785" spans="2:7" ht="13.2" x14ac:dyDescent="0.25">
      <c r="B785" s="17"/>
      <c r="C785" s="17"/>
      <c r="D785" s="17"/>
      <c r="E785" s="17"/>
      <c r="F785" s="17"/>
      <c r="G785" s="17"/>
    </row>
    <row r="786" spans="2:7" ht="13.2" x14ac:dyDescent="0.25">
      <c r="B786" s="17"/>
      <c r="C786" s="17"/>
      <c r="D786" s="17"/>
      <c r="E786" s="17"/>
      <c r="F786" s="17"/>
      <c r="G786" s="17"/>
    </row>
    <row r="787" spans="2:7" ht="13.2" x14ac:dyDescent="0.25">
      <c r="B787" s="17"/>
      <c r="C787" s="17"/>
      <c r="D787" s="17"/>
      <c r="E787" s="17"/>
      <c r="F787" s="17"/>
      <c r="G787" s="17"/>
    </row>
    <row r="788" spans="2:7" ht="13.2" x14ac:dyDescent="0.25">
      <c r="B788" s="17"/>
      <c r="C788" s="17"/>
      <c r="D788" s="17"/>
      <c r="E788" s="17"/>
      <c r="F788" s="17"/>
      <c r="G788" s="17"/>
    </row>
    <row r="789" spans="2:7" ht="13.2" x14ac:dyDescent="0.25">
      <c r="B789" s="17"/>
      <c r="C789" s="17"/>
      <c r="D789" s="17"/>
      <c r="E789" s="17"/>
      <c r="F789" s="17"/>
      <c r="G789" s="17"/>
    </row>
    <row r="790" spans="2:7" ht="13.2" x14ac:dyDescent="0.25">
      <c r="B790" s="17"/>
      <c r="C790" s="17"/>
      <c r="D790" s="17"/>
      <c r="E790" s="17"/>
      <c r="F790" s="17"/>
      <c r="G790" s="17"/>
    </row>
    <row r="791" spans="2:7" ht="13.2" x14ac:dyDescent="0.25">
      <c r="B791" s="17"/>
      <c r="C791" s="17"/>
      <c r="D791" s="17"/>
      <c r="E791" s="17"/>
      <c r="F791" s="17"/>
      <c r="G791" s="17"/>
    </row>
    <row r="792" spans="2:7" ht="13.2" x14ac:dyDescent="0.25">
      <c r="B792" s="17"/>
      <c r="C792" s="17"/>
      <c r="D792" s="17"/>
      <c r="E792" s="17"/>
      <c r="F792" s="17"/>
      <c r="G792" s="17"/>
    </row>
    <row r="793" spans="2:7" ht="13.2" x14ac:dyDescent="0.25">
      <c r="B793" s="17"/>
      <c r="C793" s="17"/>
      <c r="D793" s="17"/>
      <c r="E793" s="17"/>
      <c r="F793" s="17"/>
      <c r="G793" s="17"/>
    </row>
    <row r="794" spans="2:7" ht="13.2" x14ac:dyDescent="0.25">
      <c r="B794" s="17"/>
      <c r="C794" s="17"/>
      <c r="D794" s="17"/>
      <c r="E794" s="17"/>
      <c r="F794" s="17"/>
      <c r="G794" s="17"/>
    </row>
    <row r="795" spans="2:7" ht="13.2" x14ac:dyDescent="0.25">
      <c r="B795" s="17"/>
      <c r="C795" s="17"/>
      <c r="D795" s="17"/>
      <c r="E795" s="17"/>
      <c r="F795" s="17"/>
      <c r="G795" s="17"/>
    </row>
    <row r="796" spans="2:7" ht="13.2" x14ac:dyDescent="0.25">
      <c r="B796" s="17"/>
      <c r="C796" s="17"/>
      <c r="D796" s="17"/>
      <c r="E796" s="17"/>
      <c r="F796" s="17"/>
      <c r="G796" s="17"/>
    </row>
    <row r="797" spans="2:7" ht="13.2" x14ac:dyDescent="0.25">
      <c r="B797" s="17"/>
      <c r="C797" s="17"/>
      <c r="D797" s="17"/>
      <c r="E797" s="17"/>
      <c r="F797" s="17"/>
      <c r="G797" s="17"/>
    </row>
    <row r="798" spans="2:7" ht="13.2" x14ac:dyDescent="0.25">
      <c r="B798" s="17"/>
      <c r="C798" s="17"/>
      <c r="D798" s="17"/>
      <c r="E798" s="17"/>
      <c r="F798" s="17"/>
      <c r="G798" s="17"/>
    </row>
    <row r="799" spans="2:7" ht="13.2" x14ac:dyDescent="0.25">
      <c r="B799" s="17"/>
      <c r="C799" s="17"/>
      <c r="D799" s="17"/>
      <c r="E799" s="17"/>
      <c r="F799" s="17"/>
      <c r="G799" s="17"/>
    </row>
    <row r="800" spans="2:7" ht="13.2" x14ac:dyDescent="0.25">
      <c r="B800" s="17"/>
      <c r="C800" s="17"/>
      <c r="D800" s="17"/>
      <c r="E800" s="17"/>
      <c r="F800" s="17"/>
      <c r="G800" s="17"/>
    </row>
    <row r="801" spans="2:7" ht="13.2" x14ac:dyDescent="0.25">
      <c r="B801" s="17"/>
      <c r="C801" s="17"/>
      <c r="D801" s="17"/>
      <c r="E801" s="17"/>
      <c r="F801" s="17"/>
      <c r="G801" s="17"/>
    </row>
    <row r="802" spans="2:7" ht="13.2" x14ac:dyDescent="0.25">
      <c r="B802" s="17"/>
      <c r="C802" s="17"/>
      <c r="D802" s="17"/>
      <c r="E802" s="17"/>
      <c r="F802" s="17"/>
      <c r="G802" s="17"/>
    </row>
    <row r="803" spans="2:7" ht="13.2" x14ac:dyDescent="0.25">
      <c r="B803" s="17"/>
      <c r="C803" s="17"/>
      <c r="D803" s="17"/>
      <c r="E803" s="17"/>
      <c r="F803" s="17"/>
      <c r="G803" s="17"/>
    </row>
    <row r="804" spans="2:7" ht="13.2" x14ac:dyDescent="0.25">
      <c r="B804" s="17"/>
      <c r="C804" s="17"/>
      <c r="D804" s="17"/>
      <c r="E804" s="17"/>
      <c r="F804" s="17"/>
      <c r="G804" s="17"/>
    </row>
    <row r="805" spans="2:7" ht="13.2" x14ac:dyDescent="0.25">
      <c r="B805" s="17"/>
      <c r="C805" s="17"/>
      <c r="D805" s="17"/>
      <c r="E805" s="17"/>
      <c r="F805" s="17"/>
      <c r="G805" s="17"/>
    </row>
    <row r="806" spans="2:7" ht="13.2" x14ac:dyDescent="0.25">
      <c r="B806" s="17"/>
      <c r="C806" s="17"/>
      <c r="D806" s="17"/>
      <c r="E806" s="17"/>
      <c r="F806" s="17"/>
      <c r="G806" s="17"/>
    </row>
    <row r="807" spans="2:7" ht="13.2" x14ac:dyDescent="0.25">
      <c r="B807" s="17"/>
      <c r="C807" s="17"/>
      <c r="D807" s="17"/>
      <c r="E807" s="17"/>
      <c r="F807" s="17"/>
      <c r="G807" s="17"/>
    </row>
    <row r="808" spans="2:7" ht="13.2" x14ac:dyDescent="0.25">
      <c r="B808" s="17"/>
      <c r="C808" s="17"/>
      <c r="D808" s="17"/>
      <c r="E808" s="17"/>
      <c r="F808" s="17"/>
      <c r="G808" s="17"/>
    </row>
    <row r="809" spans="2:7" ht="13.2" x14ac:dyDescent="0.25">
      <c r="B809" s="17"/>
      <c r="C809" s="17"/>
      <c r="D809" s="17"/>
      <c r="E809" s="17"/>
      <c r="F809" s="17"/>
      <c r="G809" s="17"/>
    </row>
    <row r="810" spans="2:7" ht="13.2" x14ac:dyDescent="0.25">
      <c r="B810" s="17"/>
      <c r="C810" s="17"/>
      <c r="D810" s="17"/>
      <c r="E810" s="17"/>
      <c r="F810" s="17"/>
      <c r="G810" s="17"/>
    </row>
    <row r="811" spans="2:7" ht="13.2" x14ac:dyDescent="0.25">
      <c r="B811" s="17"/>
      <c r="C811" s="17"/>
      <c r="D811" s="17"/>
      <c r="E811" s="17"/>
      <c r="F811" s="17"/>
      <c r="G811" s="17"/>
    </row>
    <row r="812" spans="2:7" ht="13.2" x14ac:dyDescent="0.25">
      <c r="B812" s="17"/>
      <c r="C812" s="17"/>
      <c r="D812" s="17"/>
      <c r="E812" s="17"/>
      <c r="F812" s="17"/>
      <c r="G812" s="17"/>
    </row>
    <row r="813" spans="2:7" ht="13.2" x14ac:dyDescent="0.25">
      <c r="B813" s="17"/>
      <c r="C813" s="17"/>
      <c r="D813" s="17"/>
      <c r="E813" s="17"/>
      <c r="F813" s="17"/>
      <c r="G813" s="17"/>
    </row>
    <row r="814" spans="2:7" ht="13.2" x14ac:dyDescent="0.25">
      <c r="B814" s="17"/>
      <c r="C814" s="17"/>
      <c r="D814" s="17"/>
      <c r="E814" s="17"/>
      <c r="F814" s="17"/>
      <c r="G814" s="17"/>
    </row>
    <row r="815" spans="2:7" ht="13.2" x14ac:dyDescent="0.25">
      <c r="B815" s="17"/>
      <c r="C815" s="17"/>
      <c r="D815" s="17"/>
      <c r="E815" s="17"/>
      <c r="F815" s="17"/>
      <c r="G815" s="17"/>
    </row>
    <row r="816" spans="2:7" ht="13.2" x14ac:dyDescent="0.25">
      <c r="B816" s="17"/>
      <c r="C816" s="17"/>
      <c r="D816" s="17"/>
      <c r="E816" s="17"/>
      <c r="F816" s="17"/>
      <c r="G816" s="17"/>
    </row>
    <row r="817" spans="2:7" ht="13.2" x14ac:dyDescent="0.25">
      <c r="B817" s="17"/>
      <c r="C817" s="17"/>
      <c r="D817" s="17"/>
      <c r="E817" s="17"/>
      <c r="F817" s="17"/>
      <c r="G817" s="17"/>
    </row>
    <row r="818" spans="2:7" ht="13.2" x14ac:dyDescent="0.25">
      <c r="B818" s="17"/>
      <c r="C818" s="17"/>
      <c r="D818" s="17"/>
      <c r="E818" s="17"/>
      <c r="F818" s="17"/>
      <c r="G818" s="17"/>
    </row>
    <row r="819" spans="2:7" ht="13.2" x14ac:dyDescent="0.25">
      <c r="B819" s="17"/>
      <c r="C819" s="17"/>
      <c r="D819" s="17"/>
      <c r="E819" s="17"/>
      <c r="F819" s="17"/>
      <c r="G819" s="17"/>
    </row>
    <row r="820" spans="2:7" ht="13.2" x14ac:dyDescent="0.25">
      <c r="B820" s="17"/>
      <c r="C820" s="17"/>
      <c r="D820" s="17"/>
      <c r="E820" s="17"/>
      <c r="F820" s="17"/>
      <c r="G820" s="17"/>
    </row>
    <row r="821" spans="2:7" ht="13.2" x14ac:dyDescent="0.25">
      <c r="B821" s="17"/>
      <c r="C821" s="17"/>
      <c r="D821" s="17"/>
      <c r="E821" s="17"/>
      <c r="F821" s="17"/>
      <c r="G821" s="17"/>
    </row>
    <row r="822" spans="2:7" ht="13.2" x14ac:dyDescent="0.25">
      <c r="B822" s="17"/>
      <c r="C822" s="17"/>
      <c r="D822" s="17"/>
      <c r="E822" s="17"/>
      <c r="F822" s="17"/>
      <c r="G822" s="17"/>
    </row>
    <row r="823" spans="2:7" ht="13.2" x14ac:dyDescent="0.25">
      <c r="B823" s="17"/>
      <c r="C823" s="17"/>
      <c r="D823" s="17"/>
      <c r="E823" s="17"/>
      <c r="F823" s="17"/>
      <c r="G823" s="17"/>
    </row>
    <row r="824" spans="2:7" ht="13.2" x14ac:dyDescent="0.25">
      <c r="B824" s="17"/>
      <c r="C824" s="17"/>
      <c r="D824" s="17"/>
      <c r="E824" s="17"/>
      <c r="F824" s="17"/>
      <c r="G824" s="17"/>
    </row>
    <row r="825" spans="2:7" ht="13.2" x14ac:dyDescent="0.25">
      <c r="B825" s="17"/>
      <c r="C825" s="17"/>
      <c r="D825" s="17"/>
      <c r="E825" s="17"/>
      <c r="F825" s="17"/>
      <c r="G825" s="17"/>
    </row>
    <row r="826" spans="2:7" ht="13.2" x14ac:dyDescent="0.25">
      <c r="B826" s="17"/>
      <c r="C826" s="17"/>
      <c r="D826" s="17"/>
      <c r="E826" s="17"/>
      <c r="F826" s="17"/>
      <c r="G826" s="17"/>
    </row>
    <row r="827" spans="2:7" ht="13.2" x14ac:dyDescent="0.25">
      <c r="B827" s="17"/>
      <c r="C827" s="17"/>
      <c r="D827" s="17"/>
      <c r="E827" s="17"/>
      <c r="F827" s="17"/>
      <c r="G827" s="17"/>
    </row>
    <row r="828" spans="2:7" ht="13.2" x14ac:dyDescent="0.25">
      <c r="B828" s="17"/>
      <c r="C828" s="17"/>
      <c r="D828" s="17"/>
      <c r="E828" s="17"/>
      <c r="F828" s="17"/>
      <c r="G828" s="17"/>
    </row>
    <row r="829" spans="2:7" ht="13.2" x14ac:dyDescent="0.25">
      <c r="B829" s="17"/>
      <c r="C829" s="17"/>
      <c r="D829" s="17"/>
      <c r="E829" s="17"/>
      <c r="F829" s="17"/>
      <c r="G829" s="17"/>
    </row>
    <row r="830" spans="2:7" ht="13.2" x14ac:dyDescent="0.25">
      <c r="B830" s="17"/>
      <c r="C830" s="17"/>
      <c r="D830" s="17"/>
      <c r="E830" s="17"/>
      <c r="F830" s="17"/>
      <c r="G830" s="17"/>
    </row>
    <row r="831" spans="2:7" ht="13.2" x14ac:dyDescent="0.25">
      <c r="B831" s="17"/>
      <c r="C831" s="17"/>
      <c r="D831" s="17"/>
      <c r="E831" s="17"/>
      <c r="F831" s="17"/>
      <c r="G831" s="17"/>
    </row>
    <row r="832" spans="2:7" ht="13.2" x14ac:dyDescent="0.25">
      <c r="B832" s="17"/>
      <c r="C832" s="17"/>
      <c r="D832" s="17"/>
      <c r="E832" s="17"/>
      <c r="F832" s="17"/>
      <c r="G832" s="17"/>
    </row>
    <row r="833" spans="2:7" ht="13.2" x14ac:dyDescent="0.25">
      <c r="B833" s="17"/>
      <c r="C833" s="17"/>
      <c r="D833" s="17"/>
      <c r="E833" s="17"/>
      <c r="F833" s="17"/>
      <c r="G833" s="17"/>
    </row>
    <row r="834" spans="2:7" ht="13.2" x14ac:dyDescent="0.25">
      <c r="B834" s="17"/>
      <c r="C834" s="17"/>
      <c r="D834" s="17"/>
      <c r="E834" s="17"/>
      <c r="F834" s="17"/>
      <c r="G834" s="17"/>
    </row>
    <row r="835" spans="2:7" ht="13.2" x14ac:dyDescent="0.25">
      <c r="B835" s="17"/>
      <c r="C835" s="17"/>
      <c r="D835" s="17"/>
      <c r="E835" s="17"/>
      <c r="F835" s="17"/>
      <c r="G835" s="17"/>
    </row>
    <row r="836" spans="2:7" ht="13.2" x14ac:dyDescent="0.25">
      <c r="B836" s="17"/>
      <c r="C836" s="17"/>
      <c r="D836" s="17"/>
      <c r="E836" s="17"/>
      <c r="F836" s="17"/>
      <c r="G836" s="17"/>
    </row>
    <row r="837" spans="2:7" ht="13.2" x14ac:dyDescent="0.25">
      <c r="B837" s="17"/>
      <c r="C837" s="17"/>
      <c r="D837" s="17"/>
      <c r="E837" s="17"/>
      <c r="F837" s="17"/>
      <c r="G837" s="17"/>
    </row>
    <row r="838" spans="2:7" ht="13.2" x14ac:dyDescent="0.25">
      <c r="B838" s="17"/>
      <c r="C838" s="17"/>
      <c r="D838" s="17"/>
      <c r="E838" s="17"/>
      <c r="F838" s="17"/>
      <c r="G838" s="17"/>
    </row>
    <row r="839" spans="2:7" ht="13.2" x14ac:dyDescent="0.25">
      <c r="B839" s="17"/>
      <c r="C839" s="17"/>
      <c r="D839" s="17"/>
      <c r="E839" s="17"/>
      <c r="F839" s="17"/>
      <c r="G839" s="17"/>
    </row>
    <row r="840" spans="2:7" ht="13.2" x14ac:dyDescent="0.25">
      <c r="B840" s="17"/>
      <c r="C840" s="17"/>
      <c r="D840" s="17"/>
      <c r="E840" s="17"/>
      <c r="F840" s="17"/>
      <c r="G840" s="17"/>
    </row>
    <row r="841" spans="2:7" ht="13.2" x14ac:dyDescent="0.25">
      <c r="B841" s="17"/>
      <c r="C841" s="17"/>
      <c r="D841" s="17"/>
      <c r="E841" s="17"/>
      <c r="F841" s="17"/>
      <c r="G841" s="17"/>
    </row>
    <row r="842" spans="2:7" ht="13.2" x14ac:dyDescent="0.25">
      <c r="B842" s="17"/>
      <c r="C842" s="17"/>
      <c r="D842" s="17"/>
      <c r="E842" s="17"/>
      <c r="F842" s="17"/>
      <c r="G842" s="17"/>
    </row>
    <row r="843" spans="2:7" ht="13.2" x14ac:dyDescent="0.25">
      <c r="B843" s="17"/>
      <c r="C843" s="17"/>
      <c r="D843" s="17"/>
      <c r="E843" s="17"/>
      <c r="F843" s="17"/>
      <c r="G843" s="17"/>
    </row>
    <row r="844" spans="2:7" ht="13.2" x14ac:dyDescent="0.25">
      <c r="B844" s="17"/>
      <c r="C844" s="17"/>
      <c r="D844" s="17"/>
      <c r="E844" s="17"/>
      <c r="F844" s="17"/>
      <c r="G844" s="17"/>
    </row>
    <row r="845" spans="2:7" ht="13.2" x14ac:dyDescent="0.25">
      <c r="B845" s="17"/>
      <c r="C845" s="17"/>
      <c r="D845" s="17"/>
      <c r="E845" s="17"/>
      <c r="F845" s="17"/>
      <c r="G845" s="17"/>
    </row>
    <row r="846" spans="2:7" ht="13.2" x14ac:dyDescent="0.25">
      <c r="B846" s="17"/>
      <c r="C846" s="17"/>
      <c r="D846" s="17"/>
      <c r="E846" s="17"/>
      <c r="F846" s="17"/>
      <c r="G846" s="17"/>
    </row>
    <row r="847" spans="2:7" ht="13.2" x14ac:dyDescent="0.25">
      <c r="B847" s="17"/>
      <c r="C847" s="17"/>
      <c r="D847" s="17"/>
      <c r="E847" s="17"/>
      <c r="F847" s="17"/>
      <c r="G847" s="17"/>
    </row>
    <row r="848" spans="2:7" ht="13.2" x14ac:dyDescent="0.25">
      <c r="B848" s="17"/>
      <c r="C848" s="17"/>
      <c r="D848" s="17"/>
      <c r="E848" s="17"/>
      <c r="F848" s="17"/>
      <c r="G848" s="17"/>
    </row>
    <row r="849" spans="2:7" ht="13.2" x14ac:dyDescent="0.25">
      <c r="B849" s="17"/>
      <c r="C849" s="17"/>
      <c r="D849" s="17"/>
      <c r="E849" s="17"/>
      <c r="F849" s="17"/>
      <c r="G849" s="17"/>
    </row>
    <row r="850" spans="2:7" ht="13.2" x14ac:dyDescent="0.25">
      <c r="B850" s="17"/>
      <c r="C850" s="17"/>
      <c r="D850" s="17"/>
      <c r="E850" s="17"/>
      <c r="F850" s="17"/>
      <c r="G850" s="17"/>
    </row>
    <row r="851" spans="2:7" ht="13.2" x14ac:dyDescent="0.25">
      <c r="B851" s="17"/>
      <c r="C851" s="17"/>
      <c r="D851" s="17"/>
      <c r="E851" s="17"/>
      <c r="F851" s="17"/>
      <c r="G851" s="17"/>
    </row>
    <row r="852" spans="2:7" ht="13.2" x14ac:dyDescent="0.25">
      <c r="B852" s="17"/>
      <c r="C852" s="17"/>
      <c r="D852" s="17"/>
      <c r="E852" s="17"/>
      <c r="F852" s="17"/>
      <c r="G852" s="17"/>
    </row>
    <row r="853" spans="2:7" ht="13.2" x14ac:dyDescent="0.25">
      <c r="B853" s="17"/>
      <c r="C853" s="17"/>
      <c r="D853" s="17"/>
      <c r="E853" s="17"/>
      <c r="F853" s="17"/>
      <c r="G853" s="17"/>
    </row>
    <row r="854" spans="2:7" ht="13.2" x14ac:dyDescent="0.25">
      <c r="B854" s="17"/>
      <c r="C854" s="17"/>
      <c r="D854" s="17"/>
      <c r="E854" s="17"/>
      <c r="F854" s="17"/>
      <c r="G854" s="17"/>
    </row>
    <row r="855" spans="2:7" ht="13.2" x14ac:dyDescent="0.25">
      <c r="B855" s="17"/>
      <c r="C855" s="17"/>
      <c r="D855" s="17"/>
      <c r="E855" s="17"/>
      <c r="F855" s="17"/>
      <c r="G855" s="17"/>
    </row>
    <row r="856" spans="2:7" ht="13.2" x14ac:dyDescent="0.25">
      <c r="B856" s="17"/>
      <c r="C856" s="17"/>
      <c r="D856" s="17"/>
      <c r="E856" s="17"/>
      <c r="F856" s="17"/>
      <c r="G856" s="17"/>
    </row>
    <row r="857" spans="2:7" ht="13.2" x14ac:dyDescent="0.25">
      <c r="B857" s="17"/>
      <c r="C857" s="17"/>
      <c r="D857" s="17"/>
      <c r="E857" s="17"/>
      <c r="F857" s="17"/>
      <c r="G857" s="17"/>
    </row>
    <row r="858" spans="2:7" ht="13.2" x14ac:dyDescent="0.25">
      <c r="B858" s="17"/>
      <c r="C858" s="17"/>
      <c r="D858" s="17"/>
      <c r="E858" s="17"/>
      <c r="F858" s="17"/>
      <c r="G858" s="17"/>
    </row>
    <row r="859" spans="2:7" ht="13.2" x14ac:dyDescent="0.25">
      <c r="B859" s="17"/>
      <c r="C859" s="17"/>
      <c r="D859" s="17"/>
      <c r="E859" s="17"/>
      <c r="F859" s="17"/>
      <c r="G859" s="17"/>
    </row>
    <row r="860" spans="2:7" ht="13.2" x14ac:dyDescent="0.25">
      <c r="B860" s="17"/>
      <c r="C860" s="17"/>
      <c r="D860" s="17"/>
      <c r="E860" s="17"/>
      <c r="F860" s="17"/>
      <c r="G860" s="17"/>
    </row>
    <row r="861" spans="2:7" ht="13.2" x14ac:dyDescent="0.25">
      <c r="B861" s="17"/>
      <c r="C861" s="17"/>
      <c r="D861" s="17"/>
      <c r="E861" s="17"/>
      <c r="F861" s="17"/>
      <c r="G861" s="17"/>
    </row>
    <row r="862" spans="2:7" ht="13.2" x14ac:dyDescent="0.25">
      <c r="B862" s="17"/>
      <c r="C862" s="17"/>
      <c r="D862" s="17"/>
      <c r="E862" s="17"/>
      <c r="F862" s="17"/>
      <c r="G862" s="17"/>
    </row>
    <row r="863" spans="2:7" ht="13.2" x14ac:dyDescent="0.25">
      <c r="B863" s="17"/>
      <c r="C863" s="17"/>
      <c r="D863" s="17"/>
      <c r="E863" s="17"/>
      <c r="F863" s="17"/>
      <c r="G863" s="17"/>
    </row>
    <row r="864" spans="2:7" ht="13.2" x14ac:dyDescent="0.25">
      <c r="B864" s="17"/>
      <c r="C864" s="17"/>
      <c r="D864" s="17"/>
      <c r="E864" s="17"/>
      <c r="F864" s="17"/>
      <c r="G864" s="17"/>
    </row>
    <row r="865" spans="2:7" ht="13.2" x14ac:dyDescent="0.25">
      <c r="B865" s="17"/>
      <c r="C865" s="17"/>
      <c r="D865" s="17"/>
      <c r="E865" s="17"/>
      <c r="F865" s="17"/>
      <c r="G865" s="17"/>
    </row>
    <row r="866" spans="2:7" ht="13.2" x14ac:dyDescent="0.25">
      <c r="B866" s="17"/>
      <c r="C866" s="17"/>
      <c r="D866" s="17"/>
      <c r="E866" s="17"/>
      <c r="F866" s="17"/>
      <c r="G866" s="17"/>
    </row>
    <row r="867" spans="2:7" ht="13.2" x14ac:dyDescent="0.25">
      <c r="B867" s="17"/>
      <c r="C867" s="17"/>
      <c r="D867" s="17"/>
      <c r="E867" s="17"/>
      <c r="F867" s="17"/>
      <c r="G867" s="17"/>
    </row>
    <row r="868" spans="2:7" ht="13.2" x14ac:dyDescent="0.25">
      <c r="B868" s="17"/>
      <c r="C868" s="17"/>
      <c r="D868" s="17"/>
      <c r="E868" s="17"/>
      <c r="F868" s="17"/>
      <c r="G868" s="17"/>
    </row>
    <row r="869" spans="2:7" ht="13.2" x14ac:dyDescent="0.25">
      <c r="B869" s="17"/>
      <c r="C869" s="17"/>
      <c r="D869" s="17"/>
      <c r="E869" s="17"/>
      <c r="F869" s="17"/>
      <c r="G869" s="17"/>
    </row>
    <row r="870" spans="2:7" ht="13.2" x14ac:dyDescent="0.25">
      <c r="B870" s="17"/>
      <c r="C870" s="17"/>
      <c r="D870" s="17"/>
      <c r="E870" s="17"/>
      <c r="F870" s="17"/>
      <c r="G870" s="17"/>
    </row>
    <row r="871" spans="2:7" ht="13.2" x14ac:dyDescent="0.25">
      <c r="B871" s="17"/>
      <c r="C871" s="17"/>
      <c r="D871" s="17"/>
      <c r="E871" s="17"/>
      <c r="F871" s="17"/>
      <c r="G871" s="17"/>
    </row>
    <row r="872" spans="2:7" ht="13.2" x14ac:dyDescent="0.25">
      <c r="B872" s="17"/>
      <c r="C872" s="17"/>
      <c r="D872" s="17"/>
      <c r="E872" s="17"/>
      <c r="F872" s="17"/>
      <c r="G872" s="17"/>
    </row>
    <row r="873" spans="2:7" ht="13.2" x14ac:dyDescent="0.25">
      <c r="B873" s="17"/>
      <c r="C873" s="17"/>
      <c r="D873" s="17"/>
      <c r="E873" s="17"/>
      <c r="F873" s="17"/>
      <c r="G873" s="17"/>
    </row>
    <row r="874" spans="2:7" ht="13.2" x14ac:dyDescent="0.25">
      <c r="B874" s="17"/>
      <c r="C874" s="17"/>
      <c r="D874" s="17"/>
      <c r="E874" s="17"/>
      <c r="F874" s="17"/>
      <c r="G874" s="17"/>
    </row>
    <row r="875" spans="2:7" ht="13.2" x14ac:dyDescent="0.25">
      <c r="B875" s="17"/>
      <c r="C875" s="17"/>
      <c r="D875" s="17"/>
      <c r="E875" s="17"/>
      <c r="F875" s="17"/>
      <c r="G875" s="17"/>
    </row>
    <row r="876" spans="2:7" ht="13.2" x14ac:dyDescent="0.25">
      <c r="B876" s="17"/>
      <c r="C876" s="17"/>
      <c r="D876" s="17"/>
      <c r="E876" s="17"/>
      <c r="F876" s="17"/>
      <c r="G876" s="17"/>
    </row>
    <row r="877" spans="2:7" ht="13.2" x14ac:dyDescent="0.25">
      <c r="B877" s="17"/>
      <c r="C877" s="17"/>
      <c r="D877" s="17"/>
      <c r="E877" s="17"/>
      <c r="F877" s="17"/>
      <c r="G877" s="17"/>
    </row>
    <row r="878" spans="2:7" ht="13.2" x14ac:dyDescent="0.25">
      <c r="B878" s="17"/>
      <c r="C878" s="17"/>
      <c r="D878" s="17"/>
      <c r="E878" s="17"/>
      <c r="F878" s="17"/>
      <c r="G878" s="17"/>
    </row>
    <row r="879" spans="2:7" ht="13.2" x14ac:dyDescent="0.25">
      <c r="B879" s="17"/>
      <c r="C879" s="17"/>
      <c r="D879" s="17"/>
      <c r="E879" s="17"/>
      <c r="F879" s="17"/>
      <c r="G879" s="17"/>
    </row>
    <row r="880" spans="2:7" ht="13.2" x14ac:dyDescent="0.25">
      <c r="B880" s="17"/>
      <c r="C880" s="17"/>
      <c r="D880" s="17"/>
      <c r="E880" s="17"/>
      <c r="F880" s="17"/>
      <c r="G880" s="17"/>
    </row>
    <row r="881" spans="2:7" ht="13.2" x14ac:dyDescent="0.25">
      <c r="B881" s="17"/>
      <c r="C881" s="17"/>
      <c r="D881" s="17"/>
      <c r="E881" s="17"/>
      <c r="F881" s="17"/>
      <c r="G881" s="17"/>
    </row>
    <row r="882" spans="2:7" ht="13.2" x14ac:dyDescent="0.25">
      <c r="B882" s="17"/>
      <c r="C882" s="17"/>
      <c r="D882" s="17"/>
      <c r="E882" s="17"/>
      <c r="F882" s="17"/>
      <c r="G882" s="17"/>
    </row>
    <row r="883" spans="2:7" ht="13.2" x14ac:dyDescent="0.25">
      <c r="B883" s="17"/>
      <c r="C883" s="17"/>
      <c r="D883" s="17"/>
      <c r="E883" s="17"/>
      <c r="F883" s="17"/>
      <c r="G883" s="17"/>
    </row>
    <row r="884" spans="2:7" ht="13.2" x14ac:dyDescent="0.25">
      <c r="B884" s="17"/>
      <c r="C884" s="17"/>
      <c r="D884" s="17"/>
      <c r="E884" s="17"/>
      <c r="F884" s="17"/>
      <c r="G884" s="17"/>
    </row>
    <row r="885" spans="2:7" ht="13.2" x14ac:dyDescent="0.25">
      <c r="B885" s="17"/>
      <c r="C885" s="17"/>
      <c r="D885" s="17"/>
      <c r="E885" s="17"/>
      <c r="F885" s="17"/>
      <c r="G885" s="17"/>
    </row>
    <row r="886" spans="2:7" ht="13.2" x14ac:dyDescent="0.25">
      <c r="B886" s="17"/>
      <c r="C886" s="17"/>
      <c r="D886" s="17"/>
      <c r="E886" s="17"/>
      <c r="F886" s="17"/>
      <c r="G886" s="17"/>
    </row>
    <row r="887" spans="2:7" ht="13.2" x14ac:dyDescent="0.25">
      <c r="B887" s="17"/>
      <c r="C887" s="17"/>
      <c r="D887" s="17"/>
      <c r="E887" s="17"/>
      <c r="F887" s="17"/>
      <c r="G887" s="17"/>
    </row>
    <row r="888" spans="2:7" ht="13.2" x14ac:dyDescent="0.25">
      <c r="B888" s="17"/>
      <c r="C888" s="17"/>
      <c r="D888" s="17"/>
      <c r="E888" s="17"/>
      <c r="F888" s="17"/>
      <c r="G888" s="17"/>
    </row>
    <row r="889" spans="2:7" ht="13.2" x14ac:dyDescent="0.25">
      <c r="B889" s="17"/>
      <c r="C889" s="17"/>
      <c r="D889" s="17"/>
      <c r="E889" s="17"/>
      <c r="F889" s="17"/>
      <c r="G889" s="17"/>
    </row>
    <row r="890" spans="2:7" ht="13.2" x14ac:dyDescent="0.25">
      <c r="B890" s="17"/>
      <c r="C890" s="17"/>
      <c r="D890" s="17"/>
      <c r="E890" s="17"/>
      <c r="F890" s="17"/>
      <c r="G890" s="17"/>
    </row>
    <row r="891" spans="2:7" ht="13.2" x14ac:dyDescent="0.25">
      <c r="B891" s="17"/>
      <c r="C891" s="17"/>
      <c r="D891" s="17"/>
      <c r="E891" s="17"/>
      <c r="F891" s="17"/>
      <c r="G891" s="17"/>
    </row>
    <row r="892" spans="2:7" ht="13.2" x14ac:dyDescent="0.25">
      <c r="B892" s="17"/>
      <c r="C892" s="17"/>
      <c r="D892" s="17"/>
      <c r="E892" s="17"/>
      <c r="F892" s="17"/>
      <c r="G892" s="17"/>
    </row>
    <row r="893" spans="2:7" ht="13.2" x14ac:dyDescent="0.25">
      <c r="B893" s="17"/>
      <c r="C893" s="17"/>
      <c r="D893" s="17"/>
      <c r="E893" s="17"/>
      <c r="F893" s="17"/>
      <c r="G893" s="17"/>
    </row>
    <row r="894" spans="2:7" ht="13.2" x14ac:dyDescent="0.25">
      <c r="B894" s="17"/>
      <c r="C894" s="17"/>
      <c r="D894" s="17"/>
      <c r="E894" s="17"/>
      <c r="F894" s="17"/>
      <c r="G894" s="17"/>
    </row>
    <row r="895" spans="2:7" ht="13.2" x14ac:dyDescent="0.25">
      <c r="B895" s="17"/>
      <c r="C895" s="17"/>
      <c r="D895" s="17"/>
      <c r="E895" s="17"/>
      <c r="F895" s="17"/>
      <c r="G895" s="17"/>
    </row>
    <row r="896" spans="2:7" ht="13.2" x14ac:dyDescent="0.25">
      <c r="B896" s="17"/>
      <c r="C896" s="17"/>
      <c r="D896" s="17"/>
      <c r="E896" s="17"/>
      <c r="F896" s="17"/>
      <c r="G896" s="17"/>
    </row>
    <row r="897" spans="2:7" ht="13.2" x14ac:dyDescent="0.25">
      <c r="B897" s="17"/>
      <c r="C897" s="17"/>
      <c r="D897" s="17"/>
      <c r="E897" s="17"/>
      <c r="F897" s="17"/>
      <c r="G897" s="17"/>
    </row>
    <row r="898" spans="2:7" ht="13.2" x14ac:dyDescent="0.25">
      <c r="B898" s="17"/>
      <c r="C898" s="17"/>
      <c r="D898" s="17"/>
      <c r="E898" s="17"/>
      <c r="F898" s="17"/>
      <c r="G898" s="17"/>
    </row>
    <row r="899" spans="2:7" ht="13.2" x14ac:dyDescent="0.25">
      <c r="B899" s="17"/>
      <c r="C899" s="17"/>
      <c r="D899" s="17"/>
      <c r="E899" s="17"/>
      <c r="F899" s="17"/>
      <c r="G899" s="17"/>
    </row>
    <row r="900" spans="2:7" ht="13.2" x14ac:dyDescent="0.25">
      <c r="B900" s="17"/>
      <c r="C900" s="17"/>
      <c r="D900" s="17"/>
      <c r="E900" s="17"/>
      <c r="F900" s="17"/>
      <c r="G900" s="17"/>
    </row>
    <row r="901" spans="2:7" ht="13.2" x14ac:dyDescent="0.25">
      <c r="B901" s="17"/>
      <c r="C901" s="17"/>
      <c r="D901" s="17"/>
      <c r="E901" s="17"/>
      <c r="F901" s="17"/>
      <c r="G901" s="17"/>
    </row>
    <row r="902" spans="2:7" ht="13.2" x14ac:dyDescent="0.25">
      <c r="B902" s="17"/>
      <c r="C902" s="17"/>
      <c r="D902" s="17"/>
      <c r="E902" s="17"/>
      <c r="F902" s="17"/>
      <c r="G902" s="17"/>
    </row>
    <row r="903" spans="2:7" ht="13.2" x14ac:dyDescent="0.25">
      <c r="B903" s="17"/>
      <c r="C903" s="17"/>
      <c r="D903" s="17"/>
      <c r="E903" s="17"/>
      <c r="F903" s="17"/>
      <c r="G903" s="17"/>
    </row>
    <row r="904" spans="2:7" ht="13.2" x14ac:dyDescent="0.25">
      <c r="B904" s="17"/>
      <c r="C904" s="17"/>
      <c r="D904" s="17"/>
      <c r="E904" s="17"/>
      <c r="F904" s="17"/>
      <c r="G904" s="17"/>
    </row>
    <row r="905" spans="2:7" ht="13.2" x14ac:dyDescent="0.25">
      <c r="B905" s="17"/>
      <c r="C905" s="17"/>
      <c r="D905" s="17"/>
      <c r="E905" s="17"/>
      <c r="F905" s="17"/>
      <c r="G905" s="17"/>
    </row>
    <row r="906" spans="2:7" ht="13.2" x14ac:dyDescent="0.25">
      <c r="B906" s="17"/>
      <c r="C906" s="17"/>
      <c r="D906" s="17"/>
      <c r="E906" s="17"/>
      <c r="F906" s="17"/>
      <c r="G906" s="17"/>
    </row>
    <row r="907" spans="2:7" ht="13.2" x14ac:dyDescent="0.25">
      <c r="B907" s="17"/>
      <c r="C907" s="17"/>
      <c r="D907" s="17"/>
      <c r="E907" s="17"/>
      <c r="F907" s="17"/>
      <c r="G907" s="17"/>
    </row>
    <row r="908" spans="2:7" ht="13.2" x14ac:dyDescent="0.25">
      <c r="B908" s="17"/>
      <c r="C908" s="17"/>
      <c r="D908" s="17"/>
      <c r="E908" s="17"/>
      <c r="F908" s="17"/>
      <c r="G908" s="17"/>
    </row>
    <row r="909" spans="2:7" ht="13.2" x14ac:dyDescent="0.25">
      <c r="B909" s="17"/>
      <c r="C909" s="17"/>
      <c r="D909" s="17"/>
      <c r="E909" s="17"/>
      <c r="F909" s="17"/>
      <c r="G909" s="17"/>
    </row>
    <row r="910" spans="2:7" ht="13.2" x14ac:dyDescent="0.25">
      <c r="B910" s="17"/>
      <c r="C910" s="17"/>
      <c r="D910" s="17"/>
      <c r="E910" s="17"/>
      <c r="F910" s="17"/>
      <c r="G910" s="17"/>
    </row>
    <row r="911" spans="2:7" ht="13.2" x14ac:dyDescent="0.25">
      <c r="B911" s="17"/>
      <c r="C911" s="17"/>
      <c r="D911" s="17"/>
      <c r="E911" s="17"/>
      <c r="F911" s="17"/>
      <c r="G911" s="17"/>
    </row>
    <row r="912" spans="2:7" ht="13.2" x14ac:dyDescent="0.25">
      <c r="B912" s="17"/>
      <c r="C912" s="17"/>
      <c r="D912" s="17"/>
      <c r="E912" s="17"/>
      <c r="F912" s="17"/>
      <c r="G912" s="17"/>
    </row>
    <row r="913" spans="2:7" ht="13.2" x14ac:dyDescent="0.25">
      <c r="B913" s="17"/>
      <c r="C913" s="17"/>
      <c r="D913" s="17"/>
      <c r="E913" s="17"/>
      <c r="F913" s="17"/>
      <c r="G913" s="17"/>
    </row>
    <row r="914" spans="2:7" ht="13.2" x14ac:dyDescent="0.25">
      <c r="B914" s="17"/>
      <c r="C914" s="17"/>
      <c r="D914" s="17"/>
      <c r="E914" s="17"/>
      <c r="F914" s="17"/>
      <c r="G914" s="17"/>
    </row>
    <row r="915" spans="2:7" ht="13.2" x14ac:dyDescent="0.25">
      <c r="B915" s="17"/>
      <c r="C915" s="17"/>
      <c r="D915" s="17"/>
      <c r="E915" s="17"/>
      <c r="F915" s="17"/>
      <c r="G915" s="17"/>
    </row>
    <row r="916" spans="2:7" ht="13.2" x14ac:dyDescent="0.25">
      <c r="B916" s="17"/>
      <c r="C916" s="17"/>
      <c r="D916" s="17"/>
      <c r="E916" s="17"/>
      <c r="F916" s="17"/>
      <c r="G916" s="17"/>
    </row>
    <row r="917" spans="2:7" ht="13.2" x14ac:dyDescent="0.25">
      <c r="B917" s="17"/>
      <c r="C917" s="17"/>
      <c r="D917" s="17"/>
      <c r="E917" s="17"/>
      <c r="F917" s="17"/>
      <c r="G917" s="17"/>
    </row>
    <row r="918" spans="2:7" ht="13.2" x14ac:dyDescent="0.25">
      <c r="B918" s="17"/>
      <c r="C918" s="17"/>
      <c r="D918" s="17"/>
      <c r="E918" s="17"/>
      <c r="F918" s="17"/>
      <c r="G918" s="17"/>
    </row>
    <row r="919" spans="2:7" ht="13.2" x14ac:dyDescent="0.25">
      <c r="B919" s="17"/>
      <c r="C919" s="17"/>
      <c r="D919" s="17"/>
      <c r="E919" s="17"/>
      <c r="F919" s="17"/>
      <c r="G919" s="17"/>
    </row>
    <row r="920" spans="2:7" ht="13.2" x14ac:dyDescent="0.25">
      <c r="B920" s="17"/>
      <c r="C920" s="17"/>
      <c r="D920" s="17"/>
      <c r="E920" s="17"/>
      <c r="F920" s="17"/>
      <c r="G920" s="17"/>
    </row>
    <row r="921" spans="2:7" ht="13.2" x14ac:dyDescent="0.25">
      <c r="B921" s="17"/>
      <c r="C921" s="17"/>
      <c r="D921" s="17"/>
      <c r="E921" s="17"/>
      <c r="F921" s="17"/>
      <c r="G921" s="17"/>
    </row>
    <row r="922" spans="2:7" ht="13.2" x14ac:dyDescent="0.25">
      <c r="B922" s="17"/>
      <c r="C922" s="17"/>
      <c r="D922" s="17"/>
      <c r="E922" s="17"/>
      <c r="F922" s="17"/>
      <c r="G922" s="17"/>
    </row>
    <row r="923" spans="2:7" ht="13.2" x14ac:dyDescent="0.25">
      <c r="B923" s="17"/>
      <c r="C923" s="17"/>
      <c r="D923" s="17"/>
      <c r="E923" s="17"/>
      <c r="F923" s="17"/>
      <c r="G923" s="17"/>
    </row>
    <row r="924" spans="2:7" ht="13.2" x14ac:dyDescent="0.25">
      <c r="B924" s="17"/>
      <c r="C924" s="17"/>
      <c r="D924" s="17"/>
      <c r="E924" s="17"/>
      <c r="F924" s="17"/>
      <c r="G924" s="17"/>
    </row>
    <row r="925" spans="2:7" ht="13.2" x14ac:dyDescent="0.25">
      <c r="B925" s="17"/>
      <c r="C925" s="17"/>
      <c r="D925" s="17"/>
      <c r="E925" s="17"/>
      <c r="F925" s="17"/>
      <c r="G925" s="17"/>
    </row>
    <row r="926" spans="2:7" ht="13.2" x14ac:dyDescent="0.25">
      <c r="B926" s="17"/>
      <c r="C926" s="17"/>
      <c r="D926" s="17"/>
      <c r="E926" s="17"/>
      <c r="F926" s="17"/>
      <c r="G926" s="17"/>
    </row>
    <row r="927" spans="2:7" ht="13.2" x14ac:dyDescent="0.25">
      <c r="B927" s="17"/>
      <c r="C927" s="17"/>
      <c r="D927" s="17"/>
      <c r="E927" s="17"/>
      <c r="F927" s="17"/>
      <c r="G927" s="17"/>
    </row>
    <row r="928" spans="2:7" ht="13.2" x14ac:dyDescent="0.25">
      <c r="B928" s="17"/>
      <c r="C928" s="17"/>
      <c r="D928" s="17"/>
      <c r="E928" s="17"/>
      <c r="F928" s="17"/>
      <c r="G928" s="17"/>
    </row>
    <row r="929" spans="2:7" ht="13.2" x14ac:dyDescent="0.25">
      <c r="B929" s="17"/>
      <c r="C929" s="17"/>
      <c r="D929" s="17"/>
      <c r="E929" s="17"/>
      <c r="F929" s="17"/>
      <c r="G929" s="17"/>
    </row>
    <row r="930" spans="2:7" ht="13.2" x14ac:dyDescent="0.25">
      <c r="B930" s="17"/>
      <c r="C930" s="17"/>
      <c r="D930" s="17"/>
      <c r="E930" s="17"/>
      <c r="F930" s="17"/>
      <c r="G930" s="17"/>
    </row>
    <row r="931" spans="2:7" ht="13.2" x14ac:dyDescent="0.25">
      <c r="B931" s="17"/>
      <c r="C931" s="17"/>
      <c r="D931" s="17"/>
      <c r="E931" s="17"/>
      <c r="F931" s="17"/>
      <c r="G931" s="17"/>
    </row>
    <row r="932" spans="2:7" ht="13.2" x14ac:dyDescent="0.25">
      <c r="B932" s="17"/>
      <c r="C932" s="17"/>
      <c r="D932" s="17"/>
      <c r="E932" s="17"/>
      <c r="F932" s="17"/>
      <c r="G932" s="17"/>
    </row>
    <row r="933" spans="2:7" ht="13.2" x14ac:dyDescent="0.25">
      <c r="B933" s="17"/>
      <c r="C933" s="17"/>
      <c r="D933" s="17"/>
      <c r="E933" s="17"/>
      <c r="F933" s="17"/>
      <c r="G933" s="17"/>
    </row>
    <row r="934" spans="2:7" ht="13.2" x14ac:dyDescent="0.25">
      <c r="B934" s="17"/>
      <c r="C934" s="17"/>
      <c r="D934" s="17"/>
      <c r="E934" s="17"/>
      <c r="F934" s="17"/>
      <c r="G934" s="17"/>
    </row>
    <row r="935" spans="2:7" ht="13.2" x14ac:dyDescent="0.25">
      <c r="B935" s="17"/>
      <c r="C935" s="17"/>
      <c r="D935" s="17"/>
      <c r="E935" s="17"/>
      <c r="F935" s="17"/>
      <c r="G935" s="17"/>
    </row>
    <row r="936" spans="2:7" ht="13.2" x14ac:dyDescent="0.25">
      <c r="B936" s="17"/>
      <c r="C936" s="17"/>
      <c r="D936" s="17"/>
      <c r="E936" s="17"/>
      <c r="F936" s="17"/>
      <c r="G936" s="17"/>
    </row>
    <row r="937" spans="2:7" ht="13.2" x14ac:dyDescent="0.25">
      <c r="B937" s="17"/>
      <c r="C937" s="17"/>
      <c r="D937" s="17"/>
      <c r="E937" s="17"/>
      <c r="F937" s="17"/>
      <c r="G937" s="17"/>
    </row>
    <row r="938" spans="2:7" ht="13.2" x14ac:dyDescent="0.25">
      <c r="B938" s="17"/>
      <c r="C938" s="17"/>
      <c r="D938" s="17"/>
      <c r="E938" s="17"/>
      <c r="F938" s="17"/>
      <c r="G938" s="17"/>
    </row>
    <row r="939" spans="2:7" ht="13.2" x14ac:dyDescent="0.25">
      <c r="B939" s="17"/>
      <c r="C939" s="17"/>
      <c r="D939" s="17"/>
      <c r="E939" s="17"/>
      <c r="F939" s="17"/>
      <c r="G939" s="17"/>
    </row>
    <row r="940" spans="2:7" ht="13.2" x14ac:dyDescent="0.25">
      <c r="B940" s="17"/>
      <c r="C940" s="17"/>
      <c r="D940" s="17"/>
      <c r="E940" s="17"/>
      <c r="F940" s="17"/>
      <c r="G940" s="17"/>
    </row>
    <row r="941" spans="2:7" ht="13.2" x14ac:dyDescent="0.25">
      <c r="B941" s="17"/>
      <c r="C941" s="17"/>
      <c r="D941" s="17"/>
      <c r="E941" s="17"/>
      <c r="F941" s="17"/>
      <c r="G941" s="17"/>
    </row>
    <row r="942" spans="2:7" ht="13.2" x14ac:dyDescent="0.25">
      <c r="B942" s="17"/>
      <c r="C942" s="17"/>
      <c r="D942" s="17"/>
      <c r="E942" s="17"/>
      <c r="F942" s="17"/>
      <c r="G942" s="17"/>
    </row>
    <row r="943" spans="2:7" ht="13.2" x14ac:dyDescent="0.25">
      <c r="B943" s="17"/>
      <c r="C943" s="17"/>
      <c r="D943" s="17"/>
      <c r="E943" s="17"/>
      <c r="F943" s="17"/>
      <c r="G943" s="17"/>
    </row>
    <row r="944" spans="2:7" ht="13.2" x14ac:dyDescent="0.25">
      <c r="B944" s="17"/>
      <c r="C944" s="17"/>
      <c r="D944" s="17"/>
      <c r="E944" s="17"/>
      <c r="F944" s="17"/>
      <c r="G944" s="17"/>
    </row>
    <row r="945" spans="2:7" ht="13.2" x14ac:dyDescent="0.25">
      <c r="B945" s="17"/>
      <c r="C945" s="17"/>
      <c r="D945" s="17"/>
      <c r="E945" s="17"/>
      <c r="F945" s="17"/>
      <c r="G945" s="17"/>
    </row>
    <row r="946" spans="2:7" ht="13.2" x14ac:dyDescent="0.25">
      <c r="B946" s="17"/>
      <c r="C946" s="17"/>
      <c r="D946" s="17"/>
      <c r="E946" s="17"/>
      <c r="F946" s="17"/>
      <c r="G946" s="17"/>
    </row>
    <row r="947" spans="2:7" ht="13.2" x14ac:dyDescent="0.25">
      <c r="B947" s="17"/>
      <c r="C947" s="17"/>
      <c r="D947" s="17"/>
      <c r="E947" s="17"/>
      <c r="F947" s="17"/>
      <c r="G947" s="17"/>
    </row>
    <row r="948" spans="2:7" ht="13.2" x14ac:dyDescent="0.25">
      <c r="B948" s="17"/>
      <c r="C948" s="17"/>
      <c r="D948" s="17"/>
      <c r="E948" s="17"/>
      <c r="F948" s="17"/>
      <c r="G948" s="17"/>
    </row>
    <row r="949" spans="2:7" ht="13.2" x14ac:dyDescent="0.25">
      <c r="B949" s="17"/>
      <c r="C949" s="17"/>
      <c r="D949" s="17"/>
      <c r="E949" s="17"/>
      <c r="F949" s="17"/>
      <c r="G949" s="17"/>
    </row>
    <row r="950" spans="2:7" ht="13.2" x14ac:dyDescent="0.25">
      <c r="B950" s="17"/>
      <c r="C950" s="17"/>
      <c r="D950" s="17"/>
      <c r="E950" s="17"/>
      <c r="F950" s="17"/>
      <c r="G950" s="17"/>
    </row>
    <row r="951" spans="2:7" ht="13.2" x14ac:dyDescent="0.25">
      <c r="B951" s="17"/>
      <c r="C951" s="17"/>
      <c r="D951" s="17"/>
      <c r="E951" s="17"/>
      <c r="F951" s="17"/>
      <c r="G951" s="17"/>
    </row>
    <row r="952" spans="2:7" ht="13.2" x14ac:dyDescent="0.25">
      <c r="B952" s="17"/>
      <c r="C952" s="17"/>
      <c r="D952" s="17"/>
      <c r="E952" s="17"/>
      <c r="F952" s="17"/>
      <c r="G952" s="17"/>
    </row>
    <row r="953" spans="2:7" ht="13.2" x14ac:dyDescent="0.25">
      <c r="B953" s="17"/>
      <c r="C953" s="17"/>
      <c r="D953" s="17"/>
      <c r="E953" s="17"/>
      <c r="F953" s="17"/>
      <c r="G953" s="17"/>
    </row>
    <row r="954" spans="2:7" ht="13.2" x14ac:dyDescent="0.25">
      <c r="B954" s="17"/>
      <c r="C954" s="17"/>
      <c r="D954" s="17"/>
      <c r="E954" s="17"/>
      <c r="F954" s="17"/>
      <c r="G954" s="17"/>
    </row>
    <row r="955" spans="2:7" ht="13.2" x14ac:dyDescent="0.25">
      <c r="B955" s="17"/>
      <c r="C955" s="17"/>
      <c r="D955" s="17"/>
      <c r="E955" s="17"/>
      <c r="F955" s="17"/>
      <c r="G955" s="17"/>
    </row>
    <row r="956" spans="2:7" ht="13.2" x14ac:dyDescent="0.25">
      <c r="B956" s="17"/>
      <c r="C956" s="17"/>
      <c r="D956" s="17"/>
      <c r="E956" s="17"/>
      <c r="F956" s="17"/>
      <c r="G956" s="17"/>
    </row>
    <row r="957" spans="2:7" ht="13.2" x14ac:dyDescent="0.25">
      <c r="B957" s="17"/>
      <c r="C957" s="17"/>
      <c r="D957" s="17"/>
      <c r="E957" s="17"/>
      <c r="F957" s="17"/>
      <c r="G957" s="17"/>
    </row>
    <row r="958" spans="2:7" ht="13.2" x14ac:dyDescent="0.25">
      <c r="B958" s="17"/>
      <c r="C958" s="17"/>
      <c r="D958" s="17"/>
      <c r="E958" s="17"/>
      <c r="F958" s="17"/>
      <c r="G958" s="17"/>
    </row>
    <row r="959" spans="2:7" ht="13.2" x14ac:dyDescent="0.25">
      <c r="B959" s="17"/>
      <c r="C959" s="17"/>
      <c r="D959" s="17"/>
      <c r="E959" s="17"/>
      <c r="F959" s="17"/>
      <c r="G959" s="17"/>
    </row>
    <row r="960" spans="2:7" ht="13.2" x14ac:dyDescent="0.25">
      <c r="B960" s="17"/>
      <c r="C960" s="17"/>
      <c r="D960" s="17"/>
      <c r="E960" s="17"/>
      <c r="F960" s="17"/>
      <c r="G960" s="17"/>
    </row>
    <row r="961" spans="2:7" ht="13.2" x14ac:dyDescent="0.25">
      <c r="B961" s="17"/>
      <c r="C961" s="17"/>
      <c r="D961" s="17"/>
      <c r="E961" s="17"/>
      <c r="F961" s="17"/>
      <c r="G961" s="17"/>
    </row>
    <row r="962" spans="2:7" ht="13.2" x14ac:dyDescent="0.25">
      <c r="B962" s="17"/>
      <c r="C962" s="17"/>
      <c r="D962" s="17"/>
      <c r="E962" s="17"/>
      <c r="F962" s="17"/>
      <c r="G962" s="17"/>
    </row>
    <row r="963" spans="2:7" ht="13.2" x14ac:dyDescent="0.25">
      <c r="B963" s="17"/>
      <c r="C963" s="17"/>
      <c r="D963" s="17"/>
      <c r="E963" s="17"/>
      <c r="F963" s="17"/>
      <c r="G963" s="17"/>
    </row>
    <row r="964" spans="2:7" ht="13.2" x14ac:dyDescent="0.25">
      <c r="B964" s="17"/>
      <c r="C964" s="17"/>
      <c r="D964" s="17"/>
      <c r="E964" s="17"/>
      <c r="F964" s="17"/>
      <c r="G964" s="17"/>
    </row>
    <row r="965" spans="2:7" ht="13.2" x14ac:dyDescent="0.25">
      <c r="B965" s="17"/>
      <c r="C965" s="17"/>
      <c r="D965" s="17"/>
      <c r="E965" s="17"/>
      <c r="F965" s="17"/>
      <c r="G965" s="17"/>
    </row>
    <row r="966" spans="2:7" ht="13.2" x14ac:dyDescent="0.25">
      <c r="B966" s="17"/>
      <c r="C966" s="17"/>
      <c r="D966" s="17"/>
      <c r="E966" s="17"/>
      <c r="F966" s="17"/>
      <c r="G966" s="17"/>
    </row>
    <row r="967" spans="2:7" ht="13.2" x14ac:dyDescent="0.25">
      <c r="B967" s="17"/>
      <c r="C967" s="17"/>
      <c r="D967" s="17"/>
      <c r="E967" s="17"/>
      <c r="F967" s="17"/>
      <c r="G967" s="17"/>
    </row>
    <row r="968" spans="2:7" ht="13.2" x14ac:dyDescent="0.25">
      <c r="B968" s="17"/>
      <c r="C968" s="17"/>
      <c r="D968" s="17"/>
      <c r="E968" s="17"/>
      <c r="F968" s="17"/>
      <c r="G968" s="17"/>
    </row>
    <row r="969" spans="2:7" ht="13.2" x14ac:dyDescent="0.25">
      <c r="B969" s="17"/>
      <c r="C969" s="17"/>
      <c r="D969" s="17"/>
      <c r="E969" s="17"/>
      <c r="F969" s="17"/>
      <c r="G969" s="17"/>
    </row>
    <row r="970" spans="2:7" ht="13.2" x14ac:dyDescent="0.25">
      <c r="B970" s="17"/>
      <c r="C970" s="17"/>
      <c r="D970" s="17"/>
      <c r="E970" s="17"/>
      <c r="F970" s="17"/>
      <c r="G970" s="17"/>
    </row>
    <row r="971" spans="2:7" ht="13.2" x14ac:dyDescent="0.25">
      <c r="B971" s="17"/>
      <c r="C971" s="17"/>
      <c r="D971" s="17"/>
      <c r="E971" s="17"/>
      <c r="F971" s="17"/>
      <c r="G971" s="17"/>
    </row>
    <row r="972" spans="2:7" ht="13.2" x14ac:dyDescent="0.25">
      <c r="B972" s="17"/>
      <c r="C972" s="17"/>
      <c r="D972" s="17"/>
      <c r="E972" s="17"/>
      <c r="F972" s="17"/>
      <c r="G972" s="17"/>
    </row>
    <row r="973" spans="2:7" ht="13.2" x14ac:dyDescent="0.25">
      <c r="B973" s="17"/>
      <c r="C973" s="17"/>
      <c r="D973" s="17"/>
      <c r="E973" s="17"/>
      <c r="F973" s="17"/>
      <c r="G973" s="17"/>
    </row>
  </sheetData>
  <autoFilter ref="A2:G4" xr:uid="{00000000-0009-0000-0000-000004000000}"/>
  <mergeCells count="2">
    <mergeCell ref="A1:B1"/>
    <mergeCell ref="C1:G1"/>
  </mergeCells>
  <phoneticPr fontId="5"/>
  <conditionalFormatting sqref="C3:G23">
    <cfRule type="cellIs" dxfId="8" priority="1" operator="greaterThanOrEqual">
      <formula>3</formula>
    </cfRule>
    <cfRule type="cellIs" dxfId="7" priority="2" operator="greaterThanOrEqual">
      <formula>2</formula>
    </cfRule>
    <cfRule type="cellIs" dxfId="6" priority="3" operator="greaterThanOrEqual">
      <formula>1</formula>
    </cfRule>
  </conditionalFormatting>
  <printOptions horizontalCentered="1" gridLines="1"/>
  <pageMargins left="0.7" right="0.7" top="0.75" bottom="0.75" header="0" footer="0"/>
  <pageSetup paperSize="9"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G974"/>
  <sheetViews>
    <sheetView workbookViewId="0">
      <pane ySplit="2" topLeftCell="A3" activePane="bottomLeft" state="frozen"/>
      <selection pane="bottomLeft"/>
    </sheetView>
  </sheetViews>
  <sheetFormatPr defaultColWidth="12.6640625" defaultRowHeight="15.75" customHeight="1" x14ac:dyDescent="0.25"/>
  <cols>
    <col min="1" max="1" width="42.77734375" customWidth="1"/>
    <col min="2" max="7" width="13.88671875" customWidth="1"/>
  </cols>
  <sheetData>
    <row r="1" spans="1:7" ht="15.75" customHeight="1" x14ac:dyDescent="0.3">
      <c r="A1" s="36" t="s">
        <v>413</v>
      </c>
      <c r="B1" s="37"/>
      <c r="C1" s="38" t="s">
        <v>414</v>
      </c>
      <c r="D1" s="39"/>
      <c r="E1" s="39"/>
      <c r="F1" s="39"/>
      <c r="G1" s="39"/>
    </row>
    <row r="2" spans="1:7" ht="15.75" customHeight="1" x14ac:dyDescent="0.3">
      <c r="A2" s="9" t="s">
        <v>415</v>
      </c>
      <c r="B2" s="10" t="s">
        <v>424</v>
      </c>
      <c r="C2" s="10" t="s">
        <v>417</v>
      </c>
      <c r="D2" s="11" t="s">
        <v>418</v>
      </c>
      <c r="E2" s="11" t="s">
        <v>419</v>
      </c>
      <c r="F2" s="11" t="s">
        <v>420</v>
      </c>
      <c r="G2" s="12" t="s">
        <v>421</v>
      </c>
    </row>
    <row r="3" spans="1:7" ht="13.2" x14ac:dyDescent="0.25">
      <c r="A3" s="22" t="s">
        <v>17</v>
      </c>
      <c r="B3" s="23">
        <f>IFERROR(COUNTIFS(中間データ!$D:$D,$A3,中間データ!$P:$P,"&gt;="&amp;DATE(2025,11,1),中間データ!$P:$P,"&lt;="&amp;DATE(2026,1,31)),"")</f>
        <v>0</v>
      </c>
      <c r="C3" s="24" t="str">
        <f>IFERROR(AVERAGEIFS(中間データ!$F:$F,中間データ!$D:$D,$A3,中間データ!$P:$P,"&gt;="&amp;DATE(2025,11,1),中間データ!$P:$P,"&lt;="&amp;DATE(2026,1,31)),"")</f>
        <v/>
      </c>
      <c r="D3" s="25" t="str">
        <f>IFERROR(AVERAGEIFS(中間データ!$H:$H,中間データ!$D:$D,$A3,中間データ!$P:$P,"&gt;="&amp;DATE(2025,11,1),中間データ!$P:$P,"&lt;="&amp;DATE(2026,1,31)),"")</f>
        <v/>
      </c>
      <c r="E3" s="25" t="str">
        <f>IFERROR(AVERAGEIFS(中間データ!$G:$G,中間データ!$D:$D,$A3,中間データ!$P:$P,"&gt;="&amp;DATE(2025,11,1),中間データ!$P:$P,"&lt;="&amp;DATE(2026,1,31)),"")</f>
        <v/>
      </c>
      <c r="F3" s="25" t="str">
        <f>IFERROR(AVERAGEIFS(中間データ!$K:$K,中間データ!$D:$D,$A3,中間データ!$P:$P,"&gt;="&amp;DATE(2025,11,1),中間データ!$P:$P,"&lt;="&amp;DATE(2026,1,31)),"")</f>
        <v/>
      </c>
      <c r="G3" s="25" t="str">
        <f>IFERROR(AVERAGEIFS(中間データ!$J:$J,中間データ!$D:$D,$A3,中間データ!$P:$P,"&gt;="&amp;DATE(2025,11,1),中間データ!$P:$P,"&lt;="&amp;DATE(2026,1,31)),"")</f>
        <v/>
      </c>
    </row>
    <row r="4" spans="1:7" ht="13.2" x14ac:dyDescent="0.25">
      <c r="A4" s="22" t="s">
        <v>75</v>
      </c>
      <c r="B4" s="23">
        <f>IFERROR(COUNTIFS(中間データ!$D:$D,$A4,中間データ!$P:$P,"&gt;="&amp;DATE(2025,11,1),中間データ!$P:$P,"&lt;="&amp;DATE(2026,1,31)),"")</f>
        <v>0</v>
      </c>
      <c r="C4" s="24" t="str">
        <f>IFERROR(AVERAGEIFS(中間データ!$F:$F,中間データ!$D:$D,$A4,中間データ!$P:$P,"&gt;="&amp;DATE(2025,11,1),中間データ!$P:$P,"&lt;="&amp;DATE(2026,1,31)),"")</f>
        <v/>
      </c>
      <c r="D4" s="25" t="str">
        <f>IFERROR(AVERAGEIFS(中間データ!$H:$H,中間データ!$D:$D,$A4,中間データ!$P:$P,"&gt;="&amp;DATE(2025,11,1),中間データ!$P:$P,"&lt;="&amp;DATE(2026,1,31)),"")</f>
        <v/>
      </c>
      <c r="E4" s="25" t="str">
        <f>IFERROR(AVERAGEIFS(中間データ!$G:$G,中間データ!$D:$D,$A4,中間データ!$P:$P,"&gt;="&amp;DATE(2025,11,1),中間データ!$P:$P,"&lt;="&amp;DATE(2026,1,31)),"")</f>
        <v/>
      </c>
      <c r="F4" s="25" t="str">
        <f>IFERROR(AVERAGEIFS(中間データ!$K:$K,中間データ!$D:$D,$A4,中間データ!$P:$P,"&gt;="&amp;DATE(2025,11,1),中間データ!$P:$P,"&lt;="&amp;DATE(2026,1,31)),"")</f>
        <v/>
      </c>
      <c r="G4" s="25" t="str">
        <f>IFERROR(AVERAGEIFS(中間データ!$J:$J,中間データ!$D:$D,$A4,中間データ!$P:$P,"&gt;="&amp;DATE(2025,11,1),中間データ!$P:$P,"&lt;="&amp;DATE(2026,1,31)),"")</f>
        <v/>
      </c>
    </row>
    <row r="5" spans="1:7" ht="13.2" x14ac:dyDescent="0.25">
      <c r="A5" s="13" t="s">
        <v>173</v>
      </c>
      <c r="B5" s="14">
        <f>IFERROR(COUNTIFS(中間データ!$D:$D,$A5,中間データ!$P:$P,"&gt;="&amp;DATE(2025,11,1),中間データ!$P:$P,"&lt;="&amp;DATE(2026,1,31)),"")</f>
        <v>1</v>
      </c>
      <c r="C5" s="15">
        <f>IFERROR(AVERAGEIFS(中間データ!$F:$F,中間データ!$D:$D,$A5,中間データ!$P:$P,"&gt;="&amp;DATE(2025,11,1),中間データ!$P:$P,"&lt;="&amp;DATE(2026,1,31)),"")</f>
        <v>4</v>
      </c>
      <c r="D5" s="16">
        <f>IFERROR(AVERAGEIFS(中間データ!$H:$H,中間データ!$D:$D,$A5,中間データ!$P:$P,"&gt;="&amp;DATE(2025,11,1),中間データ!$P:$P,"&lt;="&amp;DATE(2026,1,31)),"")</f>
        <v>4</v>
      </c>
      <c r="E5" s="16">
        <f>IFERROR(AVERAGEIFS(中間データ!$G:$G,中間データ!$D:$D,$A5,中間データ!$P:$P,"&gt;="&amp;DATE(2025,11,1),中間データ!$P:$P,"&lt;="&amp;DATE(2026,1,31)),"")</f>
        <v>3</v>
      </c>
      <c r="F5" s="16">
        <f>IFERROR(AVERAGEIFS(中間データ!$K:$K,中間データ!$D:$D,$A5,中間データ!$P:$P,"&gt;="&amp;DATE(2025,11,1),中間データ!$P:$P,"&lt;="&amp;DATE(2026,1,31)),"")</f>
        <v>4</v>
      </c>
      <c r="G5" s="16">
        <f>IFERROR(AVERAGEIFS(中間データ!$J:$J,中間データ!$D:$D,$A5,中間データ!$P:$P,"&gt;="&amp;DATE(2025,11,1),中間データ!$P:$P,"&lt;="&amp;DATE(2026,1,31)),"")</f>
        <v>4</v>
      </c>
    </row>
    <row r="6" spans="1:7" ht="13.2" x14ac:dyDescent="0.25">
      <c r="A6" s="22" t="s">
        <v>168</v>
      </c>
      <c r="B6" s="23">
        <f>IFERROR(COUNTIFS(中間データ!$D:$D,$A6,中間データ!$P:$P,"&gt;="&amp;DATE(2025,11,1),中間データ!$P:$P,"&lt;="&amp;DATE(2026,1,31)),"")</f>
        <v>0</v>
      </c>
      <c r="C6" s="24" t="str">
        <f>IFERROR(AVERAGEIFS(中間データ!$F:$F,中間データ!$D:$D,$A6,中間データ!$P:$P,"&gt;="&amp;DATE(2025,11,1),中間データ!$P:$P,"&lt;="&amp;DATE(2026,1,31)),"")</f>
        <v/>
      </c>
      <c r="D6" s="25" t="str">
        <f>IFERROR(AVERAGEIFS(中間データ!$H:$H,中間データ!$D:$D,$A6,中間データ!$P:$P,"&gt;="&amp;DATE(2025,11,1),中間データ!$P:$P,"&lt;="&amp;DATE(2026,1,31)),"")</f>
        <v/>
      </c>
      <c r="E6" s="25" t="str">
        <f>IFERROR(AVERAGEIFS(中間データ!$G:$G,中間データ!$D:$D,$A6,中間データ!$P:$P,"&gt;="&amp;DATE(2025,11,1),中間データ!$P:$P,"&lt;="&amp;DATE(2026,1,31)),"")</f>
        <v/>
      </c>
      <c r="F6" s="25" t="str">
        <f>IFERROR(AVERAGEIFS(中間データ!$K:$K,中間データ!$D:$D,$A6,中間データ!$P:$P,"&gt;="&amp;DATE(2025,11,1),中間データ!$P:$P,"&lt;="&amp;DATE(2026,1,31)),"")</f>
        <v/>
      </c>
      <c r="G6" s="25" t="str">
        <f>IFERROR(AVERAGEIFS(中間データ!$J:$J,中間データ!$D:$D,$A6,中間データ!$P:$P,"&gt;="&amp;DATE(2025,11,1),中間データ!$P:$P,"&lt;="&amp;DATE(2026,1,31)),"")</f>
        <v/>
      </c>
    </row>
    <row r="7" spans="1:7" ht="13.2" x14ac:dyDescent="0.25">
      <c r="A7" s="13" t="s">
        <v>272</v>
      </c>
      <c r="B7" s="14">
        <f>IFERROR(COUNTIFS(中間データ!$D:$D,$A7,中間データ!$P:$P,"&gt;="&amp;DATE(2025,11,1),中間データ!$P:$P,"&lt;="&amp;DATE(2026,1,31)),"")</f>
        <v>1</v>
      </c>
      <c r="C7" s="15">
        <f>IFERROR(AVERAGEIFS(中間データ!$F:$F,中間データ!$D:$D,$A7,中間データ!$P:$P,"&gt;="&amp;DATE(2025,11,1),中間データ!$P:$P,"&lt;="&amp;DATE(2026,1,31)),"")</f>
        <v>3</v>
      </c>
      <c r="D7" s="16">
        <f>IFERROR(AVERAGEIFS(中間データ!$H:$H,中間データ!$D:$D,$A7,中間データ!$P:$P,"&gt;="&amp;DATE(2025,11,1),中間データ!$P:$P,"&lt;="&amp;DATE(2026,1,31)),"")</f>
        <v>3</v>
      </c>
      <c r="E7" s="16">
        <f>IFERROR(AVERAGEIFS(中間データ!$G:$G,中間データ!$D:$D,$A7,中間データ!$P:$P,"&gt;="&amp;DATE(2025,11,1),中間データ!$P:$P,"&lt;="&amp;DATE(2026,1,31)),"")</f>
        <v>2</v>
      </c>
      <c r="F7" s="16">
        <f>IFERROR(AVERAGEIFS(中間データ!$K:$K,中間データ!$D:$D,$A7,中間データ!$P:$P,"&gt;="&amp;DATE(2025,11,1),中間データ!$P:$P,"&lt;="&amp;DATE(2026,1,31)),"")</f>
        <v>4</v>
      </c>
      <c r="G7" s="16">
        <f>IFERROR(AVERAGEIFS(中間データ!$J:$J,中間データ!$D:$D,$A7,中間データ!$P:$P,"&gt;="&amp;DATE(2025,11,1),中間データ!$P:$P,"&lt;="&amp;DATE(2026,1,31)),"")</f>
        <v>3</v>
      </c>
    </row>
    <row r="8" spans="1:7" ht="13.2" x14ac:dyDescent="0.25">
      <c r="A8" s="22" t="s">
        <v>422</v>
      </c>
      <c r="B8" s="23">
        <f>IFERROR(COUNTIFS(中間データ!$D:$D,$A8,中間データ!$P:$P,"&gt;="&amp;DATE(2025,11,1),中間データ!$P:$P,"&lt;="&amp;DATE(2026,1,31)),"")</f>
        <v>0</v>
      </c>
      <c r="C8" s="24" t="str">
        <f>IFERROR(AVERAGEIFS(中間データ!$F:$F,中間データ!$D:$D,$A8,中間データ!$P:$P,"&gt;="&amp;DATE(2025,11,1),中間データ!$P:$P,"&lt;="&amp;DATE(2026,1,31)),"")</f>
        <v/>
      </c>
      <c r="D8" s="25" t="str">
        <f>IFERROR(AVERAGEIFS(中間データ!$H:$H,中間データ!$D:$D,$A8,中間データ!$P:$P,"&gt;="&amp;DATE(2025,11,1),中間データ!$P:$P,"&lt;="&amp;DATE(2026,1,31)),"")</f>
        <v/>
      </c>
      <c r="E8" s="25" t="str">
        <f>IFERROR(AVERAGEIFS(中間データ!$G:$G,中間データ!$D:$D,$A8,中間データ!$P:$P,"&gt;="&amp;DATE(2025,11,1),中間データ!$P:$P,"&lt;="&amp;DATE(2026,1,31)),"")</f>
        <v/>
      </c>
      <c r="F8" s="25" t="str">
        <f>IFERROR(AVERAGEIFS(中間データ!$K:$K,中間データ!$D:$D,$A8,中間データ!$P:$P,"&gt;="&amp;DATE(2025,11,1),中間データ!$P:$P,"&lt;="&amp;DATE(2026,1,31)),"")</f>
        <v/>
      </c>
      <c r="G8" s="25" t="str">
        <f>IFERROR(AVERAGEIFS(中間データ!$J:$J,中間データ!$D:$D,$A8,中間データ!$P:$P,"&gt;="&amp;DATE(2025,11,1),中間データ!$P:$P,"&lt;="&amp;DATE(2026,1,31)),"")</f>
        <v/>
      </c>
    </row>
    <row r="9" spans="1:7" ht="13.2" x14ac:dyDescent="0.25">
      <c r="A9" s="13" t="s">
        <v>259</v>
      </c>
      <c r="B9" s="14">
        <f>IFERROR(COUNTIFS(中間データ!$D:$D,$A9,中間データ!$P:$P,"&gt;="&amp;DATE(2025,11,1),中間データ!$P:$P,"&lt;="&amp;DATE(2026,1,31)),"")</f>
        <v>1</v>
      </c>
      <c r="C9" s="15">
        <f>IFERROR(AVERAGEIFS(中間データ!$F:$F,中間データ!$D:$D,$A9,中間データ!$P:$P,"&gt;="&amp;DATE(2025,11,1),中間データ!$P:$P,"&lt;="&amp;DATE(2026,1,31)),"")</f>
        <v>4</v>
      </c>
      <c r="D9" s="16">
        <f>IFERROR(AVERAGEIFS(中間データ!$H:$H,中間データ!$D:$D,$A9,中間データ!$P:$P,"&gt;="&amp;DATE(2025,11,1),中間データ!$P:$P,"&lt;="&amp;DATE(2026,1,31)),"")</f>
        <v>4</v>
      </c>
      <c r="E9" s="16">
        <f>IFERROR(AVERAGEIFS(中間データ!$G:$G,中間データ!$D:$D,$A9,中間データ!$P:$P,"&gt;="&amp;DATE(2025,11,1),中間データ!$P:$P,"&lt;="&amp;DATE(2026,1,31)),"")</f>
        <v>3</v>
      </c>
      <c r="F9" s="16">
        <f>IFERROR(AVERAGEIFS(中間データ!$K:$K,中間データ!$D:$D,$A9,中間データ!$P:$P,"&gt;="&amp;DATE(2025,11,1),中間データ!$P:$P,"&lt;="&amp;DATE(2026,1,31)),"")</f>
        <v>4</v>
      </c>
      <c r="G9" s="16">
        <f>IFERROR(AVERAGEIFS(中間データ!$J:$J,中間データ!$D:$D,$A9,中間データ!$P:$P,"&gt;="&amp;DATE(2025,11,1),中間データ!$P:$P,"&lt;="&amp;DATE(2026,1,31)),"")</f>
        <v>4</v>
      </c>
    </row>
    <row r="10" spans="1:7" ht="13.2" x14ac:dyDescent="0.25">
      <c r="A10" s="13" t="s">
        <v>292</v>
      </c>
      <c r="B10" s="14">
        <f>IFERROR(COUNTIFS(中間データ!$D:$D,$A10,中間データ!$P:$P,"&gt;="&amp;DATE(2025,11,1),中間データ!$P:$P,"&lt;="&amp;DATE(2026,1,31)),"")</f>
        <v>1</v>
      </c>
      <c r="C10" s="15">
        <f>IFERROR(AVERAGEIFS(中間データ!$F:$F,中間データ!$D:$D,$A10,中間データ!$P:$P,"&gt;="&amp;DATE(2025,11,1),中間データ!$P:$P,"&lt;="&amp;DATE(2026,1,31)),"")</f>
        <v>3</v>
      </c>
      <c r="D10" s="16">
        <f>IFERROR(AVERAGEIFS(中間データ!$H:$H,中間データ!$D:$D,$A10,中間データ!$P:$P,"&gt;="&amp;DATE(2025,11,1),中間データ!$P:$P,"&lt;="&amp;DATE(2026,1,31)),"")</f>
        <v>3</v>
      </c>
      <c r="E10" s="16">
        <f>IFERROR(AVERAGEIFS(中間データ!$G:$G,中間データ!$D:$D,$A10,中間データ!$P:$P,"&gt;="&amp;DATE(2025,11,1),中間データ!$P:$P,"&lt;="&amp;DATE(2026,1,31)),"")</f>
        <v>4</v>
      </c>
      <c r="F10" s="16">
        <f>IFERROR(AVERAGEIFS(中間データ!$K:$K,中間データ!$D:$D,$A10,中間データ!$P:$P,"&gt;="&amp;DATE(2025,11,1),中間データ!$P:$P,"&lt;="&amp;DATE(2026,1,31)),"")</f>
        <v>4</v>
      </c>
      <c r="G10" s="16">
        <f>IFERROR(AVERAGEIFS(中間データ!$J:$J,中間データ!$D:$D,$A10,中間データ!$P:$P,"&gt;="&amp;DATE(2025,11,1),中間データ!$P:$P,"&lt;="&amp;DATE(2026,1,31)),"")</f>
        <v>3</v>
      </c>
    </row>
    <row r="11" spans="1:7" ht="13.2" x14ac:dyDescent="0.25">
      <c r="A11" s="13" t="s">
        <v>164</v>
      </c>
      <c r="B11" s="14">
        <f>IFERROR(COUNTIFS(中間データ!$D:$D,$A11,中間データ!$P:$P,"&gt;="&amp;DATE(2025,11,1),中間データ!$P:$P,"&lt;="&amp;DATE(2026,1,31)),"")</f>
        <v>1</v>
      </c>
      <c r="C11" s="15">
        <f>IFERROR(AVERAGEIFS(中間データ!$F:$F,中間データ!$D:$D,$A11,中間データ!$P:$P,"&gt;="&amp;DATE(2025,11,1),中間データ!$P:$P,"&lt;="&amp;DATE(2026,1,31)),"")</f>
        <v>3</v>
      </c>
      <c r="D11" s="16">
        <f>IFERROR(AVERAGEIFS(中間データ!$H:$H,中間データ!$D:$D,$A11,中間データ!$P:$P,"&gt;="&amp;DATE(2025,11,1),中間データ!$P:$P,"&lt;="&amp;DATE(2026,1,31)),"")</f>
        <v>4</v>
      </c>
      <c r="E11" s="16">
        <f>IFERROR(AVERAGEIFS(中間データ!$G:$G,中間データ!$D:$D,$A11,中間データ!$P:$P,"&gt;="&amp;DATE(2025,11,1),中間データ!$P:$P,"&lt;="&amp;DATE(2026,1,31)),"")</f>
        <v>3</v>
      </c>
      <c r="F11" s="16">
        <f>IFERROR(AVERAGEIFS(中間データ!$K:$K,中間データ!$D:$D,$A11,中間データ!$P:$P,"&gt;="&amp;DATE(2025,11,1),中間データ!$P:$P,"&lt;="&amp;DATE(2026,1,31)),"")</f>
        <v>4</v>
      </c>
      <c r="G11" s="16">
        <f>IFERROR(AVERAGEIFS(中間データ!$J:$J,中間データ!$D:$D,$A11,中間データ!$P:$P,"&gt;="&amp;DATE(2025,11,1),中間データ!$P:$P,"&lt;="&amp;DATE(2026,1,31)),"")</f>
        <v>3</v>
      </c>
    </row>
    <row r="12" spans="1:7" ht="13.2" x14ac:dyDescent="0.25">
      <c r="A12" s="13" t="s">
        <v>159</v>
      </c>
      <c r="B12" s="14">
        <f>IFERROR(COUNTIFS(中間データ!$D:$D,$A12,中間データ!$P:$P,"&gt;="&amp;DATE(2025,11,1),中間データ!$P:$P,"&lt;="&amp;DATE(2026,1,31)),"")</f>
        <v>1</v>
      </c>
      <c r="C12" s="15">
        <f>IFERROR(AVERAGEIFS(中間データ!$F:$F,中間データ!$D:$D,$A12,中間データ!$P:$P,"&gt;="&amp;DATE(2025,11,1),中間データ!$P:$P,"&lt;="&amp;DATE(2026,1,31)),"")</f>
        <v>3</v>
      </c>
      <c r="D12" s="16">
        <f>IFERROR(AVERAGEIFS(中間データ!$H:$H,中間データ!$D:$D,$A12,中間データ!$P:$P,"&gt;="&amp;DATE(2025,11,1),中間データ!$P:$P,"&lt;="&amp;DATE(2026,1,31)),"")</f>
        <v>4</v>
      </c>
      <c r="E12" s="16">
        <f>IFERROR(AVERAGEIFS(中間データ!$G:$G,中間データ!$D:$D,$A12,中間データ!$P:$P,"&gt;="&amp;DATE(2025,11,1),中間データ!$P:$P,"&lt;="&amp;DATE(2026,1,31)),"")</f>
        <v>3</v>
      </c>
      <c r="F12" s="16">
        <f>IFERROR(AVERAGEIFS(中間データ!$K:$K,中間データ!$D:$D,$A12,中間データ!$P:$P,"&gt;="&amp;DATE(2025,11,1),中間データ!$P:$P,"&lt;="&amp;DATE(2026,1,31)),"")</f>
        <v>4</v>
      </c>
      <c r="G12" s="16">
        <f>IFERROR(AVERAGEIFS(中間データ!$J:$J,中間データ!$D:$D,$A12,中間データ!$P:$P,"&gt;="&amp;DATE(2025,11,1),中間データ!$P:$P,"&lt;="&amp;DATE(2026,1,31)),"")</f>
        <v>3</v>
      </c>
    </row>
    <row r="13" spans="1:7" ht="13.2" x14ac:dyDescent="0.25">
      <c r="A13" s="13" t="s">
        <v>53</v>
      </c>
      <c r="B13" s="14">
        <f>IFERROR(COUNTIFS(中間データ!$D:$D,$A13,中間データ!$P:$P,"&gt;="&amp;DATE(2025,11,1),中間データ!$P:$P,"&lt;="&amp;DATE(2026,1,31)),"")</f>
        <v>3</v>
      </c>
      <c r="C13" s="15">
        <f>IFERROR(AVERAGEIFS(中間データ!$F:$F,中間データ!$D:$D,$A13,中間データ!$P:$P,"&gt;="&amp;DATE(2025,11,1),中間データ!$P:$P,"&lt;="&amp;DATE(2026,1,31)),"")</f>
        <v>3.6666666666666665</v>
      </c>
      <c r="D13" s="16">
        <f>IFERROR(AVERAGEIFS(中間データ!$H:$H,中間データ!$D:$D,$A13,中間データ!$P:$P,"&gt;="&amp;DATE(2025,11,1),中間データ!$P:$P,"&lt;="&amp;DATE(2026,1,31)),"")</f>
        <v>3.6666666666666665</v>
      </c>
      <c r="E13" s="16">
        <f>IFERROR(AVERAGEIFS(中間データ!$G:$G,中間データ!$D:$D,$A13,中間データ!$P:$P,"&gt;="&amp;DATE(2025,11,1),中間データ!$P:$P,"&lt;="&amp;DATE(2026,1,31)),"")</f>
        <v>3.6666666666666665</v>
      </c>
      <c r="F13" s="16">
        <f>IFERROR(AVERAGEIFS(中間データ!$K:$K,中間データ!$D:$D,$A13,中間データ!$P:$P,"&gt;="&amp;DATE(2025,11,1),中間データ!$P:$P,"&lt;="&amp;DATE(2026,1,31)),"")</f>
        <v>3.6666666666666665</v>
      </c>
      <c r="G13" s="16">
        <f>IFERROR(AVERAGEIFS(中間データ!$J:$J,中間データ!$D:$D,$A13,中間データ!$P:$P,"&gt;="&amp;DATE(2025,11,1),中間データ!$P:$P,"&lt;="&amp;DATE(2026,1,31)),"")</f>
        <v>3.6666666666666665</v>
      </c>
    </row>
    <row r="14" spans="1:7" ht="13.2" x14ac:dyDescent="0.25">
      <c r="A14" s="13" t="s">
        <v>60</v>
      </c>
      <c r="B14" s="14">
        <f>IFERROR(COUNTIFS(中間データ!$D:$D,$A14,中間データ!$P:$P,"&gt;="&amp;DATE(2025,11,1),中間データ!$P:$P,"&lt;="&amp;DATE(2026,1,31)),"")</f>
        <v>6</v>
      </c>
      <c r="C14" s="15">
        <f>IFERROR(AVERAGEIFS(中間データ!$F:$F,中間データ!$D:$D,$A14,中間データ!$P:$P,"&gt;="&amp;DATE(2025,11,1),中間データ!$P:$P,"&lt;="&amp;DATE(2026,1,31)),"")</f>
        <v>3.6666666666666665</v>
      </c>
      <c r="D14" s="16">
        <f>IFERROR(AVERAGEIFS(中間データ!$H:$H,中間データ!$D:$D,$A14,中間データ!$P:$P,"&gt;="&amp;DATE(2025,11,1),中間データ!$P:$P,"&lt;="&amp;DATE(2026,1,31)),"")</f>
        <v>3.8333333333333335</v>
      </c>
      <c r="E14" s="16">
        <f>IFERROR(AVERAGEIFS(中間データ!$G:$G,中間データ!$D:$D,$A14,中間データ!$P:$P,"&gt;="&amp;DATE(2025,11,1),中間データ!$P:$P,"&lt;="&amp;DATE(2026,1,31)),"")</f>
        <v>3.1666666666666665</v>
      </c>
      <c r="F14" s="16">
        <f>IFERROR(AVERAGEIFS(中間データ!$K:$K,中間データ!$D:$D,$A14,中間データ!$P:$P,"&gt;="&amp;DATE(2025,11,1),中間データ!$P:$P,"&lt;="&amp;DATE(2026,1,31)),"")</f>
        <v>3.8333333333333335</v>
      </c>
      <c r="G14" s="16">
        <f>IFERROR(AVERAGEIFS(中間データ!$J:$J,中間データ!$D:$D,$A14,中間データ!$P:$P,"&gt;="&amp;DATE(2025,11,1),中間データ!$P:$P,"&lt;="&amp;DATE(2026,1,31)),"")</f>
        <v>3.5</v>
      </c>
    </row>
    <row r="15" spans="1:7" ht="13.2" x14ac:dyDescent="0.25">
      <c r="A15" s="13" t="s">
        <v>148</v>
      </c>
      <c r="B15" s="14">
        <f>IFERROR(COUNTIFS(中間データ!$D:$D,$A15,中間データ!$P:$P,"&gt;="&amp;DATE(2025,11,1),中間データ!$P:$P,"&lt;="&amp;DATE(2026,1,31)),"")</f>
        <v>2</v>
      </c>
      <c r="C15" s="15">
        <f>IFERROR(AVERAGEIFS(中間データ!$F:$F,中間データ!$D:$D,$A15,中間データ!$P:$P,"&gt;="&amp;DATE(2025,11,1),中間データ!$P:$P,"&lt;="&amp;DATE(2026,1,31)),"")</f>
        <v>3</v>
      </c>
      <c r="D15" s="16">
        <f>IFERROR(AVERAGEIFS(中間データ!$H:$H,中間データ!$D:$D,$A15,中間データ!$P:$P,"&gt;="&amp;DATE(2025,11,1),中間データ!$P:$P,"&lt;="&amp;DATE(2026,1,31)),"")</f>
        <v>3.5</v>
      </c>
      <c r="E15" s="16">
        <f>IFERROR(AVERAGEIFS(中間データ!$G:$G,中間データ!$D:$D,$A15,中間データ!$P:$P,"&gt;="&amp;DATE(2025,11,1),中間データ!$P:$P,"&lt;="&amp;DATE(2026,1,31)),"")</f>
        <v>3</v>
      </c>
      <c r="F15" s="16">
        <f>IFERROR(AVERAGEIFS(中間データ!$K:$K,中間データ!$D:$D,$A15,中間データ!$P:$P,"&gt;="&amp;DATE(2025,11,1),中間データ!$P:$P,"&lt;="&amp;DATE(2026,1,31)),"")</f>
        <v>4</v>
      </c>
      <c r="G15" s="16">
        <f>IFERROR(AVERAGEIFS(中間データ!$J:$J,中間データ!$D:$D,$A15,中間データ!$P:$P,"&gt;="&amp;DATE(2025,11,1),中間データ!$P:$P,"&lt;="&amp;DATE(2026,1,31)),"")</f>
        <v>2</v>
      </c>
    </row>
    <row r="16" spans="1:7" ht="13.2" x14ac:dyDescent="0.25">
      <c r="A16" s="22" t="s">
        <v>117</v>
      </c>
      <c r="B16" s="23">
        <f>IFERROR(COUNTIFS(中間データ!$D:$D,$A16,中間データ!$P:$P,"&gt;="&amp;DATE(2025,11,1),中間データ!$P:$P,"&lt;="&amp;DATE(2026,1,31)),"")</f>
        <v>0</v>
      </c>
      <c r="C16" s="24" t="str">
        <f>IFERROR(AVERAGEIFS(中間データ!$F:$F,中間データ!$D:$D,$A16,中間データ!$P:$P,"&gt;="&amp;DATE(2025,11,1),中間データ!$P:$P,"&lt;="&amp;DATE(2026,1,31)),"")</f>
        <v/>
      </c>
      <c r="D16" s="25" t="str">
        <f>IFERROR(AVERAGEIFS(中間データ!$H:$H,中間データ!$D:$D,$A16,中間データ!$P:$P,"&gt;="&amp;DATE(2025,11,1),中間データ!$P:$P,"&lt;="&amp;DATE(2026,1,31)),"")</f>
        <v/>
      </c>
      <c r="E16" s="25" t="str">
        <f>IFERROR(AVERAGEIFS(中間データ!$G:$G,中間データ!$D:$D,$A16,中間データ!$P:$P,"&gt;="&amp;DATE(2025,11,1),中間データ!$P:$P,"&lt;="&amp;DATE(2026,1,31)),"")</f>
        <v/>
      </c>
      <c r="F16" s="25" t="str">
        <f>IFERROR(AVERAGEIFS(中間データ!$K:$K,中間データ!$D:$D,$A16,中間データ!$P:$P,"&gt;="&amp;DATE(2025,11,1),中間データ!$P:$P,"&lt;="&amp;DATE(2026,1,31)),"")</f>
        <v/>
      </c>
      <c r="G16" s="25" t="str">
        <f>IFERROR(AVERAGEIFS(中間データ!$J:$J,中間データ!$D:$D,$A16,中間データ!$P:$P,"&gt;="&amp;DATE(2025,11,1),中間データ!$P:$P,"&lt;="&amp;DATE(2026,1,31)),"")</f>
        <v/>
      </c>
    </row>
    <row r="17" spans="1:7" ht="13.2" x14ac:dyDescent="0.25">
      <c r="A17" s="13" t="s">
        <v>69</v>
      </c>
      <c r="B17" s="14">
        <f>IFERROR(COUNTIFS(中間データ!$D:$D,$A17,中間データ!$P:$P,"&gt;="&amp;DATE(2025,11,1),中間データ!$P:$P,"&lt;="&amp;DATE(2026,1,31)),"")</f>
        <v>1</v>
      </c>
      <c r="C17" s="15">
        <f>IFERROR(AVERAGEIFS(中間データ!$F:$F,中間データ!$D:$D,$A17,中間データ!$P:$P,"&gt;="&amp;DATE(2025,11,1),中間データ!$P:$P,"&lt;="&amp;DATE(2026,1,31)),"")</f>
        <v>3</v>
      </c>
      <c r="D17" s="16">
        <f>IFERROR(AVERAGEIFS(中間データ!$H:$H,中間データ!$D:$D,$A17,中間データ!$P:$P,"&gt;="&amp;DATE(2025,11,1),中間データ!$P:$P,"&lt;="&amp;DATE(2026,1,31)),"")</f>
        <v>3</v>
      </c>
      <c r="E17" s="16">
        <f>IFERROR(AVERAGEIFS(中間データ!$G:$G,中間データ!$D:$D,$A17,中間データ!$P:$P,"&gt;="&amp;DATE(2025,11,1),中間データ!$P:$P,"&lt;="&amp;DATE(2026,1,31)),"")</f>
        <v>3</v>
      </c>
      <c r="F17" s="16">
        <f>IFERROR(AVERAGEIFS(中間データ!$K:$K,中間データ!$D:$D,$A17,中間データ!$P:$P,"&gt;="&amp;DATE(2025,11,1),中間データ!$P:$P,"&lt;="&amp;DATE(2026,1,31)),"")</f>
        <v>3</v>
      </c>
      <c r="G17" s="16">
        <f>IFERROR(AVERAGEIFS(中間データ!$J:$J,中間データ!$D:$D,$A17,中間データ!$P:$P,"&gt;="&amp;DATE(2025,11,1),中間データ!$P:$P,"&lt;="&amp;DATE(2026,1,31)),"")</f>
        <v>3</v>
      </c>
    </row>
    <row r="18" spans="1:7" ht="13.2" x14ac:dyDescent="0.25">
      <c r="A18" s="13" t="s">
        <v>111</v>
      </c>
      <c r="B18" s="14">
        <f>IFERROR(COUNTIFS(中間データ!$D:$D,$A18,中間データ!$P:$P,"&gt;="&amp;DATE(2025,11,1),中間データ!$P:$P,"&lt;="&amp;DATE(2026,1,31)),"")</f>
        <v>7</v>
      </c>
      <c r="C18" s="15">
        <f>IFERROR(AVERAGEIFS(中間データ!$F:$F,中間データ!$D:$D,$A18,中間データ!$P:$P,"&gt;="&amp;DATE(2025,11,1),中間データ!$P:$P,"&lt;="&amp;DATE(2026,1,31)),"")</f>
        <v>3.4285714285714284</v>
      </c>
      <c r="D18" s="16">
        <f>IFERROR(AVERAGEIFS(中間データ!$H:$H,中間データ!$D:$D,$A18,中間データ!$P:$P,"&gt;="&amp;DATE(2025,11,1),中間データ!$P:$P,"&lt;="&amp;DATE(2026,1,31)),"")</f>
        <v>3.4285714285714284</v>
      </c>
      <c r="E18" s="16">
        <f>IFERROR(AVERAGEIFS(中間データ!$G:$G,中間データ!$D:$D,$A18,中間データ!$P:$P,"&gt;="&amp;DATE(2025,11,1),中間データ!$P:$P,"&lt;="&amp;DATE(2026,1,31)),"")</f>
        <v>3.5714285714285716</v>
      </c>
      <c r="F18" s="16">
        <f>IFERROR(AVERAGEIFS(中間データ!$K:$K,中間データ!$D:$D,$A18,中間データ!$P:$P,"&gt;="&amp;DATE(2025,11,1),中間データ!$P:$P,"&lt;="&amp;DATE(2026,1,31)),"")</f>
        <v>3.2857142857142856</v>
      </c>
      <c r="G18" s="16">
        <f>IFERROR(AVERAGEIFS(中間データ!$J:$J,中間データ!$D:$D,$A18,中間データ!$P:$P,"&gt;="&amp;DATE(2025,11,1),中間データ!$P:$P,"&lt;="&amp;DATE(2026,1,31)),"")</f>
        <v>3.1428571428571428</v>
      </c>
    </row>
    <row r="19" spans="1:7" ht="13.2" x14ac:dyDescent="0.25">
      <c r="A19" s="13"/>
      <c r="B19" s="15"/>
      <c r="C19" s="15">
        <f>IFERROR(AVERAGEIFS(中間データ!$F:$F, 中間データ!$D:$D, $A19), "")</f>
        <v>0</v>
      </c>
      <c r="D19" s="16">
        <f>IFERROR(AVERAGEIFS(中間データ!$H:$H, 中間データ!$D:$D, $A19), "")</f>
        <v>0</v>
      </c>
      <c r="E19" s="16">
        <f>IFERROR(AVERAGEIFS(中間データ!$G:$G, 中間データ!$D:$D, $A19), "")</f>
        <v>0</v>
      </c>
      <c r="F19" s="16" t="str">
        <f>IFERROR(AVERAGEIFS(中間データ!$K:$K,中間データ!$D:$D,$A19,中間データ!$P:$P,"&gt;="&amp;DATE(2025,11,1),中間データ!$P:$P,"&lt;="&amp;DATE(2026,1,31)),"")</f>
        <v/>
      </c>
      <c r="G19" s="16">
        <f>IFERROR(AVERAGEIFS(中間データ!$J:$J, 中間データ!$D:$D, $A19), "")</f>
        <v>0</v>
      </c>
    </row>
    <row r="20" spans="1:7" ht="13.2" x14ac:dyDescent="0.25">
      <c r="A20" s="13"/>
      <c r="B20" s="15"/>
      <c r="C20" s="15">
        <f>IFERROR(AVERAGEIFS(中間データ!$F:$F, 中間データ!$D:$D, $A20), "")</f>
        <v>0</v>
      </c>
      <c r="D20" s="16">
        <f>IFERROR(AVERAGEIFS(中間データ!$H:$H, 中間データ!$D:$D, $A20), "")</f>
        <v>0</v>
      </c>
      <c r="E20" s="16">
        <f>IFERROR(AVERAGEIFS(中間データ!$G:$G, 中間データ!$D:$D, $A20), "")</f>
        <v>0</v>
      </c>
      <c r="F20" s="16">
        <f>IFERROR(AVERAGEIFS(中間データ!$K:$K, 中間データ!$D:$D, $A20), "")</f>
        <v>0</v>
      </c>
      <c r="G20" s="16">
        <f>IFERROR(AVERAGEIFS(中間データ!$J:$J, 中間データ!$D:$D, $A20), "")</f>
        <v>0</v>
      </c>
    </row>
    <row r="21" spans="1:7" ht="13.2" x14ac:dyDescent="0.25">
      <c r="A21" s="13"/>
      <c r="B21" s="15"/>
      <c r="C21" s="15">
        <f>IFERROR(AVERAGEIFS(中間データ!$F:$F, 中間データ!$D:$D, $A21), "")</f>
        <v>0</v>
      </c>
      <c r="D21" s="16">
        <f>IFERROR(AVERAGEIFS(中間データ!$H:$H, 中間データ!$D:$D, $A21), "")</f>
        <v>0</v>
      </c>
      <c r="E21" s="16">
        <f>IFERROR(AVERAGEIFS(中間データ!$G:$G, 中間データ!$D:$D, $A21), "")</f>
        <v>0</v>
      </c>
      <c r="F21" s="16">
        <f>IFERROR(AVERAGEIFS(中間データ!$K:$K, 中間データ!$D:$D, $A21), "")</f>
        <v>0</v>
      </c>
      <c r="G21" s="16">
        <f>IFERROR(AVERAGEIFS(中間データ!$J:$J, 中間データ!$D:$D, $A21), "")</f>
        <v>0</v>
      </c>
    </row>
    <row r="22" spans="1:7" ht="13.2" x14ac:dyDescent="0.25">
      <c r="A22" s="13"/>
      <c r="B22" s="15"/>
      <c r="C22" s="15">
        <f>IFERROR(AVERAGEIFS(中間データ!$F:$F, 中間データ!$D:$D, $A22), "")</f>
        <v>0</v>
      </c>
      <c r="D22" s="16">
        <f>IFERROR(AVERAGEIFS(中間データ!$H:$H, 中間データ!$D:$D, $A22), "")</f>
        <v>0</v>
      </c>
      <c r="E22" s="16">
        <f>IFERROR(AVERAGEIFS(中間データ!$G:$G, 中間データ!$D:$D, $A22), "")</f>
        <v>0</v>
      </c>
      <c r="F22" s="16">
        <f>IFERROR(AVERAGEIFS(中間データ!$K:$K, 中間データ!$D:$D, $A22), "")</f>
        <v>0</v>
      </c>
      <c r="G22" s="16">
        <f>IFERROR(AVERAGEIFS(中間データ!$J:$J, 中間データ!$D:$D, $A22), "")</f>
        <v>0</v>
      </c>
    </row>
    <row r="23" spans="1:7" ht="13.2" x14ac:dyDescent="0.25">
      <c r="A23" s="13"/>
      <c r="B23" s="15"/>
      <c r="C23" s="15">
        <f>IFERROR(AVERAGEIFS(中間データ!$F:$F, 中間データ!$D:$D, $A23), "")</f>
        <v>0</v>
      </c>
      <c r="D23" s="16">
        <f>IFERROR(AVERAGEIFS(中間データ!$H:$H, 中間データ!$D:$D, $A23), "")</f>
        <v>0</v>
      </c>
      <c r="E23" s="16">
        <f>IFERROR(AVERAGEIFS(中間データ!$G:$G, 中間データ!$D:$D, $A23), "")</f>
        <v>0</v>
      </c>
      <c r="F23" s="16">
        <f>IFERROR(AVERAGEIFS(中間データ!$K:$K, 中間データ!$D:$D, $A23), "")</f>
        <v>0</v>
      </c>
      <c r="G23" s="16">
        <f>IFERROR(AVERAGEIFS(中間データ!$J:$J, 中間データ!$D:$D, $A23), "")</f>
        <v>0</v>
      </c>
    </row>
    <row r="24" spans="1:7" ht="13.2" x14ac:dyDescent="0.25">
      <c r="A24" s="13"/>
      <c r="B24" s="15"/>
      <c r="C24" s="15">
        <f>IFERROR(AVERAGEIFS(中間データ!$F:$F, 中間データ!$D:$D, $A24), "")</f>
        <v>0</v>
      </c>
      <c r="D24" s="16">
        <f>IFERROR(AVERAGEIFS(中間データ!$H:$H, 中間データ!$D:$D, $A24), "")</f>
        <v>0</v>
      </c>
      <c r="E24" s="16">
        <f>IFERROR(AVERAGEIFS(中間データ!$G:$G, 中間データ!$D:$D, $A24), "")</f>
        <v>0</v>
      </c>
      <c r="F24" s="16">
        <f>IFERROR(AVERAGEIFS(中間データ!$K:$K, 中間データ!$D:$D, $A24), "")</f>
        <v>0</v>
      </c>
      <c r="G24" s="16">
        <f>IFERROR(AVERAGEIFS(中間データ!$J:$J, 中間データ!$D:$D, $A24), "")</f>
        <v>0</v>
      </c>
    </row>
    <row r="25" spans="1:7" ht="13.2" x14ac:dyDescent="0.25">
      <c r="A25" s="17"/>
      <c r="B25" s="17"/>
      <c r="C25" s="17"/>
      <c r="D25" s="17"/>
      <c r="E25" s="17"/>
      <c r="F25" s="17"/>
      <c r="G25" s="17"/>
    </row>
    <row r="26" spans="1:7" ht="13.2" x14ac:dyDescent="0.25">
      <c r="B26" s="17"/>
      <c r="C26" s="17"/>
      <c r="D26" s="17"/>
      <c r="E26" s="17"/>
      <c r="F26" s="17"/>
      <c r="G26" s="17"/>
    </row>
    <row r="27" spans="1:7" ht="13.2" x14ac:dyDescent="0.25">
      <c r="B27" s="17"/>
      <c r="C27" s="17"/>
      <c r="D27" s="17"/>
      <c r="E27" s="17"/>
      <c r="F27" s="17"/>
      <c r="G27" s="17"/>
    </row>
    <row r="28" spans="1:7" ht="13.2" x14ac:dyDescent="0.25">
      <c r="B28" s="17"/>
      <c r="C28" s="17"/>
      <c r="D28" s="17"/>
      <c r="E28" s="17"/>
      <c r="F28" s="17"/>
      <c r="G28" s="17"/>
    </row>
    <row r="29" spans="1:7" ht="13.2" x14ac:dyDescent="0.25">
      <c r="B29" s="17"/>
      <c r="C29" s="17"/>
      <c r="D29" s="17"/>
      <c r="E29" s="17"/>
      <c r="F29" s="17"/>
      <c r="G29" s="17"/>
    </row>
    <row r="30" spans="1:7" ht="13.2" x14ac:dyDescent="0.25">
      <c r="B30" s="17"/>
      <c r="C30" s="17"/>
      <c r="D30" s="17"/>
      <c r="E30" s="17"/>
      <c r="F30" s="17"/>
      <c r="G30" s="17"/>
    </row>
    <row r="31" spans="1:7" ht="13.2" x14ac:dyDescent="0.25">
      <c r="B31" s="17"/>
      <c r="C31" s="17"/>
      <c r="D31" s="17"/>
      <c r="E31" s="17"/>
      <c r="F31" s="17"/>
      <c r="G31" s="17"/>
    </row>
    <row r="32" spans="1:7" ht="13.2" x14ac:dyDescent="0.25">
      <c r="B32" s="17"/>
      <c r="C32" s="17"/>
      <c r="D32" s="17"/>
      <c r="E32" s="17"/>
      <c r="F32" s="17"/>
      <c r="G32" s="17"/>
    </row>
    <row r="33" spans="2:7" ht="13.2" x14ac:dyDescent="0.25">
      <c r="B33" s="17"/>
      <c r="C33" s="17"/>
      <c r="D33" s="17"/>
      <c r="E33" s="17"/>
      <c r="F33" s="17"/>
      <c r="G33" s="17"/>
    </row>
    <row r="34" spans="2:7" ht="13.2" x14ac:dyDescent="0.25">
      <c r="B34" s="17"/>
      <c r="C34" s="17"/>
      <c r="D34" s="17"/>
      <c r="E34" s="17"/>
      <c r="F34" s="17"/>
      <c r="G34" s="17"/>
    </row>
    <row r="35" spans="2:7" ht="13.2" x14ac:dyDescent="0.25">
      <c r="B35" s="17"/>
      <c r="C35" s="17"/>
      <c r="D35" s="17"/>
      <c r="E35" s="17"/>
      <c r="F35" s="17"/>
      <c r="G35" s="17"/>
    </row>
    <row r="36" spans="2:7" ht="13.2" x14ac:dyDescent="0.25">
      <c r="B36" s="17"/>
      <c r="C36" s="17"/>
      <c r="D36" s="17"/>
      <c r="E36" s="17"/>
      <c r="F36" s="17"/>
      <c r="G36" s="17"/>
    </row>
    <row r="37" spans="2:7" ht="13.2" x14ac:dyDescent="0.25">
      <c r="B37" s="17"/>
      <c r="C37" s="17"/>
      <c r="D37" s="17"/>
      <c r="E37" s="17"/>
      <c r="F37" s="17"/>
      <c r="G37" s="17"/>
    </row>
    <row r="38" spans="2:7" ht="13.2" x14ac:dyDescent="0.25">
      <c r="B38" s="17"/>
      <c r="C38" s="17"/>
      <c r="D38" s="17"/>
      <c r="E38" s="17"/>
      <c r="F38" s="17"/>
      <c r="G38" s="17"/>
    </row>
    <row r="39" spans="2:7" ht="13.2" x14ac:dyDescent="0.25">
      <c r="B39" s="17"/>
      <c r="C39" s="17"/>
      <c r="D39" s="17"/>
      <c r="E39" s="17"/>
      <c r="F39" s="17"/>
      <c r="G39" s="17"/>
    </row>
    <row r="40" spans="2:7" ht="13.2" x14ac:dyDescent="0.25">
      <c r="B40" s="17"/>
      <c r="C40" s="17"/>
      <c r="D40" s="17"/>
      <c r="E40" s="17"/>
      <c r="F40" s="17"/>
      <c r="G40" s="17"/>
    </row>
    <row r="41" spans="2:7" ht="13.2" x14ac:dyDescent="0.25">
      <c r="B41" s="17"/>
      <c r="C41" s="17"/>
      <c r="D41" s="17"/>
      <c r="E41" s="17"/>
      <c r="F41" s="17"/>
      <c r="G41" s="17"/>
    </row>
    <row r="42" spans="2:7" ht="13.2" x14ac:dyDescent="0.25">
      <c r="B42" s="17"/>
      <c r="C42" s="17"/>
      <c r="D42" s="17"/>
      <c r="E42" s="17"/>
      <c r="F42" s="17"/>
      <c r="G42" s="17"/>
    </row>
    <row r="43" spans="2:7" ht="13.2" x14ac:dyDescent="0.25">
      <c r="B43" s="17"/>
      <c r="C43" s="17"/>
      <c r="D43" s="17"/>
      <c r="E43" s="17"/>
      <c r="F43" s="17"/>
      <c r="G43" s="17"/>
    </row>
    <row r="44" spans="2:7" ht="13.2" x14ac:dyDescent="0.25">
      <c r="B44" s="17"/>
      <c r="C44" s="17"/>
      <c r="D44" s="17"/>
      <c r="E44" s="17"/>
      <c r="F44" s="17"/>
      <c r="G44" s="17"/>
    </row>
    <row r="45" spans="2:7" ht="13.2" x14ac:dyDescent="0.25">
      <c r="B45" s="17"/>
      <c r="C45" s="17"/>
      <c r="D45" s="17"/>
      <c r="E45" s="17"/>
      <c r="F45" s="17"/>
      <c r="G45" s="17"/>
    </row>
    <row r="46" spans="2:7" ht="13.2" x14ac:dyDescent="0.25">
      <c r="B46" s="17"/>
      <c r="C46" s="17"/>
      <c r="D46" s="17"/>
      <c r="E46" s="17"/>
      <c r="F46" s="17"/>
      <c r="G46" s="17"/>
    </row>
    <row r="47" spans="2:7" ht="13.2" x14ac:dyDescent="0.25">
      <c r="B47" s="17"/>
      <c r="C47" s="17"/>
      <c r="D47" s="17"/>
      <c r="E47" s="17"/>
      <c r="F47" s="17"/>
      <c r="G47" s="17"/>
    </row>
    <row r="48" spans="2:7" ht="13.2" x14ac:dyDescent="0.25">
      <c r="B48" s="17"/>
      <c r="C48" s="17"/>
      <c r="D48" s="17"/>
      <c r="E48" s="17"/>
      <c r="F48" s="17"/>
      <c r="G48" s="17"/>
    </row>
    <row r="49" spans="2:7" ht="13.2" x14ac:dyDescent="0.25">
      <c r="B49" s="17"/>
      <c r="C49" s="17"/>
      <c r="D49" s="17"/>
      <c r="E49" s="17"/>
      <c r="F49" s="17"/>
      <c r="G49" s="17"/>
    </row>
    <row r="50" spans="2:7" ht="13.2" x14ac:dyDescent="0.25">
      <c r="B50" s="17"/>
      <c r="C50" s="17"/>
      <c r="D50" s="17"/>
      <c r="E50" s="17"/>
      <c r="F50" s="17"/>
      <c r="G50" s="17"/>
    </row>
    <row r="51" spans="2:7" ht="13.2" x14ac:dyDescent="0.25">
      <c r="B51" s="17"/>
      <c r="C51" s="17"/>
      <c r="D51" s="17"/>
      <c r="E51" s="17"/>
      <c r="F51" s="17"/>
      <c r="G51" s="17"/>
    </row>
    <row r="52" spans="2:7" ht="13.2" x14ac:dyDescent="0.25">
      <c r="B52" s="17"/>
      <c r="C52" s="17"/>
      <c r="D52" s="17"/>
      <c r="E52" s="17"/>
      <c r="F52" s="17"/>
      <c r="G52" s="17"/>
    </row>
    <row r="53" spans="2:7" ht="13.2" x14ac:dyDescent="0.25">
      <c r="B53" s="17"/>
      <c r="C53" s="17"/>
      <c r="D53" s="17"/>
      <c r="E53" s="17"/>
      <c r="F53" s="17"/>
      <c r="G53" s="17"/>
    </row>
    <row r="54" spans="2:7" ht="13.2" x14ac:dyDescent="0.25">
      <c r="B54" s="17"/>
      <c r="C54" s="17"/>
      <c r="D54" s="17"/>
      <c r="E54" s="17"/>
      <c r="F54" s="17"/>
      <c r="G54" s="17"/>
    </row>
    <row r="55" spans="2:7" ht="13.2" x14ac:dyDescent="0.25">
      <c r="B55" s="17"/>
      <c r="C55" s="17"/>
      <c r="D55" s="17"/>
      <c r="E55" s="17"/>
      <c r="F55" s="17"/>
      <c r="G55" s="17"/>
    </row>
    <row r="56" spans="2:7" ht="13.2" x14ac:dyDescent="0.25">
      <c r="B56" s="17"/>
      <c r="C56" s="17"/>
      <c r="D56" s="17"/>
      <c r="E56" s="17"/>
      <c r="F56" s="17"/>
      <c r="G56" s="17"/>
    </row>
    <row r="57" spans="2:7" ht="13.2" x14ac:dyDescent="0.25">
      <c r="B57" s="17"/>
      <c r="C57" s="17"/>
      <c r="D57" s="17"/>
      <c r="E57" s="17"/>
      <c r="F57" s="17"/>
      <c r="G57" s="17"/>
    </row>
    <row r="58" spans="2:7" ht="13.2" x14ac:dyDescent="0.25">
      <c r="B58" s="17"/>
      <c r="C58" s="17"/>
      <c r="D58" s="17"/>
      <c r="E58" s="17"/>
      <c r="F58" s="17"/>
      <c r="G58" s="17"/>
    </row>
    <row r="59" spans="2:7" ht="13.2" x14ac:dyDescent="0.25">
      <c r="B59" s="17"/>
      <c r="C59" s="17"/>
      <c r="D59" s="17"/>
      <c r="E59" s="17"/>
      <c r="F59" s="17"/>
      <c r="G59" s="17"/>
    </row>
    <row r="60" spans="2:7" ht="13.2" x14ac:dyDescent="0.25">
      <c r="B60" s="17"/>
      <c r="C60" s="17"/>
      <c r="D60" s="17"/>
      <c r="E60" s="17"/>
      <c r="F60" s="17"/>
      <c r="G60" s="17"/>
    </row>
    <row r="61" spans="2:7" ht="13.2" x14ac:dyDescent="0.25">
      <c r="B61" s="17"/>
      <c r="C61" s="17"/>
      <c r="D61" s="17"/>
      <c r="E61" s="17"/>
      <c r="F61" s="17"/>
      <c r="G61" s="17"/>
    </row>
    <row r="62" spans="2:7" ht="13.2" x14ac:dyDescent="0.25">
      <c r="B62" s="17"/>
      <c r="C62" s="17"/>
      <c r="D62" s="17"/>
      <c r="E62" s="17"/>
      <c r="F62" s="17"/>
      <c r="G62" s="17"/>
    </row>
    <row r="63" spans="2:7" ht="13.2" x14ac:dyDescent="0.25">
      <c r="B63" s="17"/>
      <c r="C63" s="17"/>
      <c r="D63" s="17"/>
      <c r="E63" s="17"/>
      <c r="F63" s="17"/>
      <c r="G63" s="17"/>
    </row>
    <row r="64" spans="2:7" ht="13.2" x14ac:dyDescent="0.25">
      <c r="B64" s="17"/>
      <c r="C64" s="17"/>
      <c r="D64" s="17"/>
      <c r="E64" s="17"/>
      <c r="F64" s="17"/>
      <c r="G64" s="17"/>
    </row>
    <row r="65" spans="2:7" ht="13.2" x14ac:dyDescent="0.25">
      <c r="B65" s="17"/>
      <c r="C65" s="17"/>
      <c r="D65" s="17"/>
      <c r="E65" s="17"/>
      <c r="F65" s="17"/>
      <c r="G65" s="17"/>
    </row>
    <row r="66" spans="2:7" ht="13.2" x14ac:dyDescent="0.25">
      <c r="B66" s="17"/>
      <c r="C66" s="17"/>
      <c r="D66" s="17"/>
      <c r="E66" s="17"/>
      <c r="F66" s="17"/>
      <c r="G66" s="17"/>
    </row>
    <row r="67" spans="2:7" ht="13.2" x14ac:dyDescent="0.25">
      <c r="B67" s="17"/>
      <c r="C67" s="17"/>
      <c r="D67" s="17"/>
      <c r="E67" s="17"/>
      <c r="F67" s="17"/>
      <c r="G67" s="17"/>
    </row>
    <row r="68" spans="2:7" ht="13.2" x14ac:dyDescent="0.25">
      <c r="B68" s="17"/>
      <c r="C68" s="17"/>
      <c r="D68" s="17"/>
      <c r="E68" s="17"/>
      <c r="F68" s="17"/>
      <c r="G68" s="17"/>
    </row>
    <row r="69" spans="2:7" ht="13.2" x14ac:dyDescent="0.25">
      <c r="B69" s="17"/>
      <c r="C69" s="17"/>
      <c r="D69" s="17"/>
      <c r="E69" s="17"/>
      <c r="F69" s="17"/>
      <c r="G69" s="17"/>
    </row>
    <row r="70" spans="2:7" ht="13.2" x14ac:dyDescent="0.25">
      <c r="B70" s="17"/>
      <c r="C70" s="17"/>
      <c r="D70" s="17"/>
      <c r="E70" s="17"/>
      <c r="F70" s="17"/>
      <c r="G70" s="17"/>
    </row>
    <row r="71" spans="2:7" ht="13.2" x14ac:dyDescent="0.25">
      <c r="B71" s="17"/>
      <c r="C71" s="17"/>
      <c r="D71" s="17"/>
      <c r="E71" s="17"/>
      <c r="F71" s="17"/>
      <c r="G71" s="17"/>
    </row>
    <row r="72" spans="2:7" ht="13.2" x14ac:dyDescent="0.25">
      <c r="B72" s="17"/>
      <c r="C72" s="17"/>
      <c r="D72" s="17"/>
      <c r="E72" s="17"/>
      <c r="F72" s="17"/>
      <c r="G72" s="17"/>
    </row>
    <row r="73" spans="2:7" ht="13.2" x14ac:dyDescent="0.25">
      <c r="B73" s="17"/>
      <c r="C73" s="17"/>
      <c r="D73" s="17"/>
      <c r="E73" s="17"/>
      <c r="F73" s="17"/>
      <c r="G73" s="17"/>
    </row>
    <row r="74" spans="2:7" ht="13.2" x14ac:dyDescent="0.25">
      <c r="B74" s="17"/>
      <c r="C74" s="17"/>
      <c r="D74" s="17"/>
      <c r="E74" s="17"/>
      <c r="F74" s="17"/>
      <c r="G74" s="17"/>
    </row>
    <row r="75" spans="2:7" ht="13.2" x14ac:dyDescent="0.25">
      <c r="B75" s="17"/>
      <c r="C75" s="17"/>
      <c r="D75" s="17"/>
      <c r="E75" s="17"/>
      <c r="F75" s="17"/>
      <c r="G75" s="17"/>
    </row>
    <row r="76" spans="2:7" ht="13.2" x14ac:dyDescent="0.25">
      <c r="B76" s="17"/>
      <c r="C76" s="17"/>
      <c r="D76" s="17"/>
      <c r="E76" s="17"/>
      <c r="F76" s="17"/>
      <c r="G76" s="17"/>
    </row>
    <row r="77" spans="2:7" ht="13.2" x14ac:dyDescent="0.25">
      <c r="B77" s="17"/>
      <c r="C77" s="17"/>
      <c r="D77" s="17"/>
      <c r="E77" s="17"/>
      <c r="F77" s="17"/>
      <c r="G77" s="17"/>
    </row>
    <row r="78" spans="2:7" ht="13.2" x14ac:dyDescent="0.25">
      <c r="B78" s="17"/>
      <c r="C78" s="17"/>
      <c r="D78" s="17"/>
      <c r="E78" s="17"/>
      <c r="F78" s="17"/>
      <c r="G78" s="17"/>
    </row>
    <row r="79" spans="2:7" ht="13.2" x14ac:dyDescent="0.25">
      <c r="B79" s="17"/>
      <c r="C79" s="17"/>
      <c r="D79" s="17"/>
      <c r="E79" s="17"/>
      <c r="F79" s="17"/>
      <c r="G79" s="17"/>
    </row>
    <row r="80" spans="2:7" ht="13.2" x14ac:dyDescent="0.25">
      <c r="B80" s="17"/>
      <c r="C80" s="17"/>
      <c r="D80" s="17"/>
      <c r="E80" s="17"/>
      <c r="F80" s="17"/>
      <c r="G80" s="17"/>
    </row>
    <row r="81" spans="2:7" ht="13.2" x14ac:dyDescent="0.25">
      <c r="B81" s="17"/>
      <c r="C81" s="17"/>
      <c r="D81" s="17"/>
      <c r="E81" s="17"/>
      <c r="F81" s="17"/>
      <c r="G81" s="17"/>
    </row>
    <row r="82" spans="2:7" ht="13.2" x14ac:dyDescent="0.25">
      <c r="B82" s="17"/>
      <c r="C82" s="17"/>
      <c r="D82" s="17"/>
      <c r="E82" s="17"/>
      <c r="F82" s="17"/>
      <c r="G82" s="17"/>
    </row>
    <row r="83" spans="2:7" ht="13.2" x14ac:dyDescent="0.25">
      <c r="B83" s="17"/>
      <c r="C83" s="17"/>
      <c r="D83" s="17"/>
      <c r="E83" s="17"/>
      <c r="F83" s="17"/>
      <c r="G83" s="17"/>
    </row>
    <row r="84" spans="2:7" ht="13.2" x14ac:dyDescent="0.25">
      <c r="B84" s="17"/>
      <c r="C84" s="17"/>
      <c r="D84" s="17"/>
      <c r="E84" s="17"/>
      <c r="F84" s="17"/>
      <c r="G84" s="17"/>
    </row>
    <row r="85" spans="2:7" ht="13.2" x14ac:dyDescent="0.25">
      <c r="B85" s="17"/>
      <c r="C85" s="17"/>
      <c r="D85" s="17"/>
      <c r="E85" s="17"/>
      <c r="F85" s="17"/>
      <c r="G85" s="17"/>
    </row>
    <row r="86" spans="2:7" ht="13.2" x14ac:dyDescent="0.25">
      <c r="B86" s="17"/>
      <c r="C86" s="17"/>
      <c r="D86" s="17"/>
      <c r="E86" s="17"/>
      <c r="F86" s="17"/>
      <c r="G86" s="17"/>
    </row>
    <row r="87" spans="2:7" ht="13.2" x14ac:dyDescent="0.25">
      <c r="B87" s="17"/>
      <c r="C87" s="17"/>
      <c r="D87" s="17"/>
      <c r="E87" s="17"/>
      <c r="F87" s="17"/>
      <c r="G87" s="17"/>
    </row>
    <row r="88" spans="2:7" ht="13.2" x14ac:dyDescent="0.25">
      <c r="B88" s="17"/>
      <c r="C88" s="17"/>
      <c r="D88" s="17"/>
      <c r="E88" s="17"/>
      <c r="F88" s="17"/>
      <c r="G88" s="17"/>
    </row>
    <row r="89" spans="2:7" ht="13.2" x14ac:dyDescent="0.25">
      <c r="B89" s="17"/>
      <c r="C89" s="17"/>
      <c r="D89" s="17"/>
      <c r="E89" s="17"/>
      <c r="F89" s="17"/>
      <c r="G89" s="17"/>
    </row>
    <row r="90" spans="2:7" ht="13.2" x14ac:dyDescent="0.25">
      <c r="B90" s="17"/>
      <c r="C90" s="17"/>
      <c r="D90" s="17"/>
      <c r="E90" s="17"/>
      <c r="F90" s="17"/>
      <c r="G90" s="17"/>
    </row>
    <row r="91" spans="2:7" ht="13.2" x14ac:dyDescent="0.25">
      <c r="B91" s="17"/>
      <c r="C91" s="17"/>
      <c r="D91" s="17"/>
      <c r="E91" s="17"/>
      <c r="F91" s="17"/>
      <c r="G91" s="17"/>
    </row>
    <row r="92" spans="2:7" ht="13.2" x14ac:dyDescent="0.25">
      <c r="B92" s="17"/>
      <c r="C92" s="17"/>
      <c r="D92" s="17"/>
      <c r="E92" s="17"/>
      <c r="F92" s="17"/>
      <c r="G92" s="17"/>
    </row>
    <row r="93" spans="2:7" ht="13.2" x14ac:dyDescent="0.25">
      <c r="B93" s="17"/>
      <c r="C93" s="17"/>
      <c r="D93" s="17"/>
      <c r="E93" s="17"/>
      <c r="F93" s="17"/>
      <c r="G93" s="17"/>
    </row>
    <row r="94" spans="2:7" ht="13.2" x14ac:dyDescent="0.25">
      <c r="B94" s="17"/>
      <c r="C94" s="17"/>
      <c r="D94" s="17"/>
      <c r="E94" s="17"/>
      <c r="F94" s="17"/>
      <c r="G94" s="17"/>
    </row>
    <row r="95" spans="2:7" ht="13.2" x14ac:dyDescent="0.25">
      <c r="B95" s="17"/>
      <c r="C95" s="17"/>
      <c r="D95" s="17"/>
      <c r="E95" s="17"/>
      <c r="F95" s="17"/>
      <c r="G95" s="17"/>
    </row>
    <row r="96" spans="2:7" ht="13.2" x14ac:dyDescent="0.25">
      <c r="B96" s="17"/>
      <c r="C96" s="17"/>
      <c r="D96" s="17"/>
      <c r="E96" s="17"/>
      <c r="F96" s="17"/>
      <c r="G96" s="17"/>
    </row>
    <row r="97" spans="2:7" ht="13.2" x14ac:dyDescent="0.25">
      <c r="B97" s="17"/>
      <c r="C97" s="17"/>
      <c r="D97" s="17"/>
      <c r="E97" s="17"/>
      <c r="F97" s="17"/>
      <c r="G97" s="17"/>
    </row>
    <row r="98" spans="2:7" ht="13.2" x14ac:dyDescent="0.25">
      <c r="B98" s="17"/>
      <c r="C98" s="17"/>
      <c r="D98" s="17"/>
      <c r="E98" s="17"/>
      <c r="F98" s="17"/>
      <c r="G98" s="17"/>
    </row>
    <row r="99" spans="2:7" ht="13.2" x14ac:dyDescent="0.25">
      <c r="B99" s="17"/>
      <c r="C99" s="17"/>
      <c r="D99" s="17"/>
      <c r="E99" s="17"/>
      <c r="F99" s="17"/>
      <c r="G99" s="17"/>
    </row>
    <row r="100" spans="2:7" ht="13.2" x14ac:dyDescent="0.25">
      <c r="B100" s="17"/>
      <c r="C100" s="17"/>
      <c r="D100" s="17"/>
      <c r="E100" s="17"/>
      <c r="F100" s="17"/>
      <c r="G100" s="17"/>
    </row>
    <row r="101" spans="2:7" ht="13.2" x14ac:dyDescent="0.25">
      <c r="B101" s="17"/>
      <c r="C101" s="17"/>
      <c r="D101" s="17"/>
      <c r="E101" s="17"/>
      <c r="F101" s="17"/>
      <c r="G101" s="17"/>
    </row>
    <row r="102" spans="2:7" ht="13.2" x14ac:dyDescent="0.25">
      <c r="B102" s="17"/>
      <c r="C102" s="17"/>
      <c r="D102" s="17"/>
      <c r="E102" s="17"/>
      <c r="F102" s="17"/>
      <c r="G102" s="17"/>
    </row>
    <row r="103" spans="2:7" ht="13.2" x14ac:dyDescent="0.25">
      <c r="B103" s="17"/>
      <c r="C103" s="17"/>
      <c r="D103" s="17"/>
      <c r="E103" s="17"/>
      <c r="F103" s="17"/>
      <c r="G103" s="17"/>
    </row>
    <row r="104" spans="2:7" ht="13.2" x14ac:dyDescent="0.25">
      <c r="B104" s="17"/>
      <c r="C104" s="17"/>
      <c r="D104" s="17"/>
      <c r="E104" s="17"/>
      <c r="F104" s="17"/>
      <c r="G104" s="17"/>
    </row>
    <row r="105" spans="2:7" ht="13.2" x14ac:dyDescent="0.25">
      <c r="B105" s="17"/>
      <c r="C105" s="17"/>
      <c r="D105" s="17"/>
      <c r="E105" s="17"/>
      <c r="F105" s="17"/>
      <c r="G105" s="17"/>
    </row>
    <row r="106" spans="2:7" ht="13.2" x14ac:dyDescent="0.25">
      <c r="B106" s="17"/>
      <c r="C106" s="17"/>
      <c r="D106" s="17"/>
      <c r="E106" s="17"/>
      <c r="F106" s="17"/>
      <c r="G106" s="17"/>
    </row>
    <row r="107" spans="2:7" ht="13.2" x14ac:dyDescent="0.25">
      <c r="B107" s="17"/>
      <c r="C107" s="17"/>
      <c r="D107" s="17"/>
      <c r="E107" s="17"/>
      <c r="F107" s="17"/>
      <c r="G107" s="17"/>
    </row>
    <row r="108" spans="2:7" ht="13.2" x14ac:dyDescent="0.25">
      <c r="B108" s="17"/>
      <c r="C108" s="17"/>
      <c r="D108" s="17"/>
      <c r="E108" s="17"/>
      <c r="F108" s="17"/>
      <c r="G108" s="17"/>
    </row>
    <row r="109" spans="2:7" ht="13.2" x14ac:dyDescent="0.25">
      <c r="B109" s="17"/>
      <c r="C109" s="17"/>
      <c r="D109" s="17"/>
      <c r="E109" s="17"/>
      <c r="F109" s="17"/>
      <c r="G109" s="17"/>
    </row>
    <row r="110" spans="2:7" ht="13.2" x14ac:dyDescent="0.25">
      <c r="B110" s="17"/>
      <c r="C110" s="17"/>
      <c r="D110" s="17"/>
      <c r="E110" s="17"/>
      <c r="F110" s="17"/>
      <c r="G110" s="17"/>
    </row>
    <row r="111" spans="2:7" ht="13.2" x14ac:dyDescent="0.25">
      <c r="B111" s="17"/>
      <c r="C111" s="17"/>
      <c r="D111" s="17"/>
      <c r="E111" s="17"/>
      <c r="F111" s="17"/>
      <c r="G111" s="17"/>
    </row>
    <row r="112" spans="2:7" ht="13.2" x14ac:dyDescent="0.25">
      <c r="B112" s="17"/>
      <c r="C112" s="17"/>
      <c r="D112" s="17"/>
      <c r="E112" s="17"/>
      <c r="F112" s="17"/>
      <c r="G112" s="17"/>
    </row>
    <row r="113" spans="2:7" ht="13.2" x14ac:dyDescent="0.25">
      <c r="B113" s="17"/>
      <c r="C113" s="17"/>
      <c r="D113" s="17"/>
      <c r="E113" s="17"/>
      <c r="F113" s="17"/>
      <c r="G113" s="17"/>
    </row>
    <row r="114" spans="2:7" ht="13.2" x14ac:dyDescent="0.25">
      <c r="B114" s="17"/>
      <c r="C114" s="17"/>
      <c r="D114" s="17"/>
      <c r="E114" s="17"/>
      <c r="F114" s="17"/>
      <c r="G114" s="17"/>
    </row>
    <row r="115" spans="2:7" ht="13.2" x14ac:dyDescent="0.25">
      <c r="B115" s="17"/>
      <c r="C115" s="17"/>
      <c r="D115" s="17"/>
      <c r="E115" s="17"/>
      <c r="F115" s="17"/>
      <c r="G115" s="17"/>
    </row>
    <row r="116" spans="2:7" ht="13.2" x14ac:dyDescent="0.25">
      <c r="B116" s="17"/>
      <c r="C116" s="17"/>
      <c r="D116" s="17"/>
      <c r="E116" s="17"/>
      <c r="F116" s="17"/>
      <c r="G116" s="17"/>
    </row>
    <row r="117" spans="2:7" ht="13.2" x14ac:dyDescent="0.25">
      <c r="B117" s="17"/>
      <c r="C117" s="17"/>
      <c r="D117" s="17"/>
      <c r="E117" s="17"/>
      <c r="F117" s="17"/>
      <c r="G117" s="17"/>
    </row>
    <row r="118" spans="2:7" ht="13.2" x14ac:dyDescent="0.25">
      <c r="B118" s="17"/>
      <c r="C118" s="17"/>
      <c r="D118" s="17"/>
      <c r="E118" s="17"/>
      <c r="F118" s="17"/>
      <c r="G118" s="17"/>
    </row>
    <row r="119" spans="2:7" ht="13.2" x14ac:dyDescent="0.25">
      <c r="B119" s="17"/>
      <c r="C119" s="17"/>
      <c r="D119" s="17"/>
      <c r="E119" s="17"/>
      <c r="F119" s="17"/>
      <c r="G119" s="17"/>
    </row>
    <row r="120" spans="2:7" ht="13.2" x14ac:dyDescent="0.25">
      <c r="B120" s="17"/>
      <c r="C120" s="17"/>
      <c r="D120" s="17"/>
      <c r="E120" s="17"/>
      <c r="F120" s="17"/>
      <c r="G120" s="17"/>
    </row>
    <row r="121" spans="2:7" ht="13.2" x14ac:dyDescent="0.25">
      <c r="B121" s="17"/>
      <c r="C121" s="17"/>
      <c r="D121" s="17"/>
      <c r="E121" s="17"/>
      <c r="F121" s="17"/>
      <c r="G121" s="17"/>
    </row>
    <row r="122" spans="2:7" ht="13.2" x14ac:dyDescent="0.25">
      <c r="B122" s="17"/>
      <c r="C122" s="17"/>
      <c r="D122" s="17"/>
      <c r="E122" s="17"/>
      <c r="F122" s="17"/>
      <c r="G122" s="17"/>
    </row>
    <row r="123" spans="2:7" ht="13.2" x14ac:dyDescent="0.25">
      <c r="B123" s="17"/>
      <c r="C123" s="17"/>
      <c r="D123" s="17"/>
      <c r="E123" s="17"/>
      <c r="F123" s="17"/>
      <c r="G123" s="17"/>
    </row>
    <row r="124" spans="2:7" ht="13.2" x14ac:dyDescent="0.25">
      <c r="B124" s="17"/>
      <c r="C124" s="17"/>
      <c r="D124" s="17"/>
      <c r="E124" s="17"/>
      <c r="F124" s="17"/>
      <c r="G124" s="17"/>
    </row>
    <row r="125" spans="2:7" ht="13.2" x14ac:dyDescent="0.25">
      <c r="B125" s="17"/>
      <c r="C125" s="17"/>
      <c r="D125" s="17"/>
      <c r="E125" s="17"/>
      <c r="F125" s="17"/>
      <c r="G125" s="17"/>
    </row>
    <row r="126" spans="2:7" ht="13.2" x14ac:dyDescent="0.25">
      <c r="B126" s="17"/>
      <c r="C126" s="17"/>
      <c r="D126" s="17"/>
      <c r="E126" s="17"/>
      <c r="F126" s="17"/>
      <c r="G126" s="17"/>
    </row>
    <row r="127" spans="2:7" ht="13.2" x14ac:dyDescent="0.25">
      <c r="B127" s="17"/>
      <c r="C127" s="17"/>
      <c r="D127" s="17"/>
      <c r="E127" s="17"/>
      <c r="F127" s="17"/>
      <c r="G127" s="17"/>
    </row>
    <row r="128" spans="2:7" ht="13.2" x14ac:dyDescent="0.25">
      <c r="B128" s="17"/>
      <c r="C128" s="17"/>
      <c r="D128" s="17"/>
      <c r="E128" s="17"/>
      <c r="F128" s="17"/>
      <c r="G128" s="17"/>
    </row>
    <row r="129" spans="2:7" ht="13.2" x14ac:dyDescent="0.25">
      <c r="B129" s="17"/>
      <c r="C129" s="17"/>
      <c r="D129" s="17"/>
      <c r="E129" s="17"/>
      <c r="F129" s="17"/>
      <c r="G129" s="17"/>
    </row>
    <row r="130" spans="2:7" ht="13.2" x14ac:dyDescent="0.25">
      <c r="B130" s="17"/>
      <c r="C130" s="17"/>
      <c r="D130" s="17"/>
      <c r="E130" s="17"/>
      <c r="F130" s="17"/>
      <c r="G130" s="17"/>
    </row>
    <row r="131" spans="2:7" ht="13.2" x14ac:dyDescent="0.25">
      <c r="B131" s="17"/>
      <c r="C131" s="17"/>
      <c r="D131" s="17"/>
      <c r="E131" s="17"/>
      <c r="F131" s="17"/>
      <c r="G131" s="17"/>
    </row>
    <row r="132" spans="2:7" ht="13.2" x14ac:dyDescent="0.25">
      <c r="B132" s="17"/>
      <c r="C132" s="17"/>
      <c r="D132" s="17"/>
      <c r="E132" s="17"/>
      <c r="F132" s="17"/>
      <c r="G132" s="17"/>
    </row>
    <row r="133" spans="2:7" ht="13.2" x14ac:dyDescent="0.25">
      <c r="B133" s="17"/>
      <c r="C133" s="17"/>
      <c r="D133" s="17"/>
      <c r="E133" s="17"/>
      <c r="F133" s="17"/>
      <c r="G133" s="17"/>
    </row>
    <row r="134" spans="2:7" ht="13.2" x14ac:dyDescent="0.25">
      <c r="B134" s="17"/>
      <c r="C134" s="17"/>
      <c r="D134" s="17"/>
      <c r="E134" s="17"/>
      <c r="F134" s="17"/>
      <c r="G134" s="17"/>
    </row>
    <row r="135" spans="2:7" ht="13.2" x14ac:dyDescent="0.25">
      <c r="B135" s="17"/>
      <c r="C135" s="17"/>
      <c r="D135" s="17"/>
      <c r="E135" s="17"/>
      <c r="F135" s="17"/>
      <c r="G135" s="17"/>
    </row>
    <row r="136" spans="2:7" ht="13.2" x14ac:dyDescent="0.25">
      <c r="B136" s="17"/>
      <c r="C136" s="17"/>
      <c r="D136" s="17"/>
      <c r="E136" s="17"/>
      <c r="F136" s="17"/>
      <c r="G136" s="17"/>
    </row>
    <row r="137" spans="2:7" ht="13.2" x14ac:dyDescent="0.25">
      <c r="B137" s="17"/>
      <c r="C137" s="17"/>
      <c r="D137" s="17"/>
      <c r="E137" s="17"/>
      <c r="F137" s="17"/>
      <c r="G137" s="17"/>
    </row>
    <row r="138" spans="2:7" ht="13.2" x14ac:dyDescent="0.25">
      <c r="B138" s="17"/>
      <c r="C138" s="17"/>
      <c r="D138" s="17"/>
      <c r="E138" s="17"/>
      <c r="F138" s="17"/>
      <c r="G138" s="17"/>
    </row>
    <row r="139" spans="2:7" ht="13.2" x14ac:dyDescent="0.25">
      <c r="B139" s="17"/>
      <c r="C139" s="17"/>
      <c r="D139" s="17"/>
      <c r="E139" s="17"/>
      <c r="F139" s="17"/>
      <c r="G139" s="17"/>
    </row>
    <row r="140" spans="2:7" ht="13.2" x14ac:dyDescent="0.25">
      <c r="B140" s="17"/>
      <c r="C140" s="17"/>
      <c r="D140" s="17"/>
      <c r="E140" s="17"/>
      <c r="F140" s="17"/>
      <c r="G140" s="17"/>
    </row>
    <row r="141" spans="2:7" ht="13.2" x14ac:dyDescent="0.25">
      <c r="B141" s="17"/>
      <c r="C141" s="17"/>
      <c r="D141" s="17"/>
      <c r="E141" s="17"/>
      <c r="F141" s="17"/>
      <c r="G141" s="17"/>
    </row>
    <row r="142" spans="2:7" ht="13.2" x14ac:dyDescent="0.25">
      <c r="B142" s="17"/>
      <c r="C142" s="17"/>
      <c r="D142" s="17"/>
      <c r="E142" s="17"/>
      <c r="F142" s="17"/>
      <c r="G142" s="17"/>
    </row>
    <row r="143" spans="2:7" ht="13.2" x14ac:dyDescent="0.25">
      <c r="B143" s="17"/>
      <c r="C143" s="17"/>
      <c r="D143" s="17"/>
      <c r="E143" s="17"/>
      <c r="F143" s="17"/>
      <c r="G143" s="17"/>
    </row>
    <row r="144" spans="2:7" ht="13.2" x14ac:dyDescent="0.25">
      <c r="B144" s="17"/>
      <c r="C144" s="17"/>
      <c r="D144" s="17"/>
      <c r="E144" s="17"/>
      <c r="F144" s="17"/>
      <c r="G144" s="17"/>
    </row>
    <row r="145" spans="2:7" ht="13.2" x14ac:dyDescent="0.25">
      <c r="B145" s="17"/>
      <c r="C145" s="17"/>
      <c r="D145" s="17"/>
      <c r="E145" s="17"/>
      <c r="F145" s="17"/>
      <c r="G145" s="17"/>
    </row>
    <row r="146" spans="2:7" ht="13.2" x14ac:dyDescent="0.25">
      <c r="B146" s="17"/>
      <c r="C146" s="17"/>
      <c r="D146" s="17"/>
      <c r="E146" s="17"/>
      <c r="F146" s="17"/>
      <c r="G146" s="17"/>
    </row>
    <row r="147" spans="2:7" ht="13.2" x14ac:dyDescent="0.25">
      <c r="B147" s="17"/>
      <c r="C147" s="17"/>
      <c r="D147" s="17"/>
      <c r="E147" s="17"/>
      <c r="F147" s="17"/>
      <c r="G147" s="17"/>
    </row>
    <row r="148" spans="2:7" ht="13.2" x14ac:dyDescent="0.25">
      <c r="B148" s="17"/>
      <c r="C148" s="17"/>
      <c r="D148" s="17"/>
      <c r="E148" s="17"/>
      <c r="F148" s="17"/>
      <c r="G148" s="17"/>
    </row>
    <row r="149" spans="2:7" ht="13.2" x14ac:dyDescent="0.25">
      <c r="B149" s="17"/>
      <c r="C149" s="17"/>
      <c r="D149" s="17"/>
      <c r="E149" s="17"/>
      <c r="F149" s="17"/>
      <c r="G149" s="17"/>
    </row>
    <row r="150" spans="2:7" ht="13.2" x14ac:dyDescent="0.25">
      <c r="B150" s="17"/>
      <c r="C150" s="17"/>
      <c r="D150" s="17"/>
      <c r="E150" s="17"/>
      <c r="F150" s="17"/>
      <c r="G150" s="17"/>
    </row>
    <row r="151" spans="2:7" ht="13.2" x14ac:dyDescent="0.25">
      <c r="B151" s="17"/>
      <c r="C151" s="17"/>
      <c r="D151" s="17"/>
      <c r="E151" s="17"/>
      <c r="F151" s="17"/>
      <c r="G151" s="17"/>
    </row>
    <row r="152" spans="2:7" ht="13.2" x14ac:dyDescent="0.25">
      <c r="B152" s="17"/>
      <c r="C152" s="17"/>
      <c r="D152" s="17"/>
      <c r="E152" s="17"/>
      <c r="F152" s="17"/>
      <c r="G152" s="17"/>
    </row>
    <row r="153" spans="2:7" ht="13.2" x14ac:dyDescent="0.25">
      <c r="B153" s="17"/>
      <c r="C153" s="17"/>
      <c r="D153" s="17"/>
      <c r="E153" s="17"/>
      <c r="F153" s="17"/>
      <c r="G153" s="17"/>
    </row>
    <row r="154" spans="2:7" ht="13.2" x14ac:dyDescent="0.25">
      <c r="B154" s="17"/>
      <c r="C154" s="17"/>
      <c r="D154" s="17"/>
      <c r="E154" s="17"/>
      <c r="F154" s="17"/>
      <c r="G154" s="17"/>
    </row>
    <row r="155" spans="2:7" ht="13.2" x14ac:dyDescent="0.25">
      <c r="B155" s="17"/>
      <c r="C155" s="17"/>
      <c r="D155" s="17"/>
      <c r="E155" s="17"/>
      <c r="F155" s="17"/>
      <c r="G155" s="17"/>
    </row>
    <row r="156" spans="2:7" ht="13.2" x14ac:dyDescent="0.25">
      <c r="B156" s="17"/>
      <c r="C156" s="17"/>
      <c r="D156" s="17"/>
      <c r="E156" s="17"/>
      <c r="F156" s="17"/>
      <c r="G156" s="17"/>
    </row>
    <row r="157" spans="2:7" ht="13.2" x14ac:dyDescent="0.25">
      <c r="B157" s="17"/>
      <c r="C157" s="17"/>
      <c r="D157" s="17"/>
      <c r="E157" s="17"/>
      <c r="F157" s="17"/>
      <c r="G157" s="17"/>
    </row>
    <row r="158" spans="2:7" ht="13.2" x14ac:dyDescent="0.25">
      <c r="B158" s="17"/>
      <c r="C158" s="17"/>
      <c r="D158" s="17"/>
      <c r="E158" s="17"/>
      <c r="F158" s="17"/>
      <c r="G158" s="17"/>
    </row>
    <row r="159" spans="2:7" ht="13.2" x14ac:dyDescent="0.25">
      <c r="B159" s="17"/>
      <c r="C159" s="17"/>
      <c r="D159" s="17"/>
      <c r="E159" s="17"/>
      <c r="F159" s="17"/>
      <c r="G159" s="17"/>
    </row>
    <row r="160" spans="2:7" ht="13.2" x14ac:dyDescent="0.25">
      <c r="B160" s="17"/>
      <c r="C160" s="17"/>
      <c r="D160" s="17"/>
      <c r="E160" s="17"/>
      <c r="F160" s="17"/>
      <c r="G160" s="17"/>
    </row>
    <row r="161" spans="2:7" ht="13.2" x14ac:dyDescent="0.25">
      <c r="B161" s="17"/>
      <c r="C161" s="17"/>
      <c r="D161" s="17"/>
      <c r="E161" s="17"/>
      <c r="F161" s="17"/>
      <c r="G161" s="17"/>
    </row>
    <row r="162" spans="2:7" ht="13.2" x14ac:dyDescent="0.25">
      <c r="B162" s="17"/>
      <c r="C162" s="17"/>
      <c r="D162" s="17"/>
      <c r="E162" s="17"/>
      <c r="F162" s="17"/>
      <c r="G162" s="17"/>
    </row>
    <row r="163" spans="2:7" ht="13.2" x14ac:dyDescent="0.25">
      <c r="B163" s="17"/>
      <c r="C163" s="17"/>
      <c r="D163" s="17"/>
      <c r="E163" s="17"/>
      <c r="F163" s="17"/>
      <c r="G163" s="17"/>
    </row>
    <row r="164" spans="2:7" ht="13.2" x14ac:dyDescent="0.25">
      <c r="B164" s="17"/>
      <c r="C164" s="17"/>
      <c r="D164" s="17"/>
      <c r="E164" s="17"/>
      <c r="F164" s="17"/>
      <c r="G164" s="17"/>
    </row>
    <row r="165" spans="2:7" ht="13.2" x14ac:dyDescent="0.25">
      <c r="B165" s="17"/>
      <c r="C165" s="17"/>
      <c r="D165" s="17"/>
      <c r="E165" s="17"/>
      <c r="F165" s="17"/>
      <c r="G165" s="17"/>
    </row>
    <row r="166" spans="2:7" ht="13.2" x14ac:dyDescent="0.25">
      <c r="B166" s="17"/>
      <c r="C166" s="17"/>
      <c r="D166" s="17"/>
      <c r="E166" s="17"/>
      <c r="F166" s="17"/>
      <c r="G166" s="17"/>
    </row>
    <row r="167" spans="2:7" ht="13.2" x14ac:dyDescent="0.25">
      <c r="B167" s="17"/>
      <c r="C167" s="17"/>
      <c r="D167" s="17"/>
      <c r="E167" s="17"/>
      <c r="F167" s="17"/>
      <c r="G167" s="17"/>
    </row>
    <row r="168" spans="2:7" ht="13.2" x14ac:dyDescent="0.25">
      <c r="B168" s="17"/>
      <c r="C168" s="17"/>
      <c r="D168" s="17"/>
      <c r="E168" s="17"/>
      <c r="F168" s="17"/>
      <c r="G168" s="17"/>
    </row>
    <row r="169" spans="2:7" ht="13.2" x14ac:dyDescent="0.25">
      <c r="B169" s="17"/>
      <c r="C169" s="17"/>
      <c r="D169" s="17"/>
      <c r="E169" s="17"/>
      <c r="F169" s="17"/>
      <c r="G169" s="17"/>
    </row>
    <row r="170" spans="2:7" ht="13.2" x14ac:dyDescent="0.25">
      <c r="B170" s="17"/>
      <c r="C170" s="17"/>
      <c r="D170" s="17"/>
      <c r="E170" s="17"/>
      <c r="F170" s="17"/>
      <c r="G170" s="17"/>
    </row>
    <row r="171" spans="2:7" ht="13.2" x14ac:dyDescent="0.25">
      <c r="B171" s="17"/>
      <c r="C171" s="17"/>
      <c r="D171" s="17"/>
      <c r="E171" s="17"/>
      <c r="F171" s="17"/>
      <c r="G171" s="17"/>
    </row>
    <row r="172" spans="2:7" ht="13.2" x14ac:dyDescent="0.25">
      <c r="B172" s="17"/>
      <c r="C172" s="17"/>
      <c r="D172" s="17"/>
      <c r="E172" s="17"/>
      <c r="F172" s="17"/>
      <c r="G172" s="17"/>
    </row>
    <row r="173" spans="2:7" ht="13.2" x14ac:dyDescent="0.25">
      <c r="B173" s="17"/>
      <c r="C173" s="17"/>
      <c r="D173" s="17"/>
      <c r="E173" s="17"/>
      <c r="F173" s="17"/>
      <c r="G173" s="17"/>
    </row>
    <row r="174" spans="2:7" ht="13.2" x14ac:dyDescent="0.25">
      <c r="B174" s="17"/>
      <c r="C174" s="17"/>
      <c r="D174" s="17"/>
      <c r="E174" s="17"/>
      <c r="F174" s="17"/>
      <c r="G174" s="17"/>
    </row>
    <row r="175" spans="2:7" ht="13.2" x14ac:dyDescent="0.25">
      <c r="B175" s="17"/>
      <c r="C175" s="17"/>
      <c r="D175" s="17"/>
      <c r="E175" s="17"/>
      <c r="F175" s="17"/>
      <c r="G175" s="17"/>
    </row>
    <row r="176" spans="2:7" ht="13.2" x14ac:dyDescent="0.25">
      <c r="B176" s="17"/>
      <c r="C176" s="17"/>
      <c r="D176" s="17"/>
      <c r="E176" s="17"/>
      <c r="F176" s="17"/>
      <c r="G176" s="17"/>
    </row>
    <row r="177" spans="2:7" ht="13.2" x14ac:dyDescent="0.25">
      <c r="B177" s="17"/>
      <c r="C177" s="17"/>
      <c r="D177" s="17"/>
      <c r="E177" s="17"/>
      <c r="F177" s="17"/>
      <c r="G177" s="17"/>
    </row>
    <row r="178" spans="2:7" ht="13.2" x14ac:dyDescent="0.25">
      <c r="B178" s="17"/>
      <c r="C178" s="17"/>
      <c r="D178" s="17"/>
      <c r="E178" s="17"/>
      <c r="F178" s="17"/>
      <c r="G178" s="17"/>
    </row>
    <row r="179" spans="2:7" ht="13.2" x14ac:dyDescent="0.25">
      <c r="B179" s="17"/>
      <c r="C179" s="17"/>
      <c r="D179" s="17"/>
      <c r="E179" s="17"/>
      <c r="F179" s="17"/>
      <c r="G179" s="17"/>
    </row>
    <row r="180" spans="2:7" ht="13.2" x14ac:dyDescent="0.25">
      <c r="B180" s="17"/>
      <c r="C180" s="17"/>
      <c r="D180" s="17"/>
      <c r="E180" s="17"/>
      <c r="F180" s="17"/>
      <c r="G180" s="17"/>
    </row>
    <row r="181" spans="2:7" ht="13.2" x14ac:dyDescent="0.25">
      <c r="B181" s="17"/>
      <c r="C181" s="17"/>
      <c r="D181" s="17"/>
      <c r="E181" s="17"/>
      <c r="F181" s="17"/>
      <c r="G181" s="17"/>
    </row>
    <row r="182" spans="2:7" ht="13.2" x14ac:dyDescent="0.25">
      <c r="B182" s="17"/>
      <c r="C182" s="17"/>
      <c r="D182" s="17"/>
      <c r="E182" s="17"/>
      <c r="F182" s="17"/>
      <c r="G182" s="17"/>
    </row>
    <row r="183" spans="2:7" ht="13.2" x14ac:dyDescent="0.25">
      <c r="B183" s="17"/>
      <c r="C183" s="17"/>
      <c r="D183" s="17"/>
      <c r="E183" s="17"/>
      <c r="F183" s="17"/>
      <c r="G183" s="17"/>
    </row>
    <row r="184" spans="2:7" ht="13.2" x14ac:dyDescent="0.25">
      <c r="B184" s="17"/>
      <c r="C184" s="17"/>
      <c r="D184" s="17"/>
      <c r="E184" s="17"/>
      <c r="F184" s="17"/>
      <c r="G184" s="17"/>
    </row>
    <row r="185" spans="2:7" ht="13.2" x14ac:dyDescent="0.25">
      <c r="B185" s="17"/>
      <c r="C185" s="17"/>
      <c r="D185" s="17"/>
      <c r="E185" s="17"/>
      <c r="F185" s="17"/>
      <c r="G185" s="17"/>
    </row>
    <row r="186" spans="2:7" ht="13.2" x14ac:dyDescent="0.25">
      <c r="B186" s="17"/>
      <c r="C186" s="17"/>
      <c r="D186" s="17"/>
      <c r="E186" s="17"/>
      <c r="F186" s="17"/>
      <c r="G186" s="17"/>
    </row>
    <row r="187" spans="2:7" ht="13.2" x14ac:dyDescent="0.25">
      <c r="B187" s="17"/>
      <c r="C187" s="17"/>
      <c r="D187" s="17"/>
      <c r="E187" s="17"/>
      <c r="F187" s="17"/>
      <c r="G187" s="17"/>
    </row>
    <row r="188" spans="2:7" ht="13.2" x14ac:dyDescent="0.25">
      <c r="B188" s="17"/>
      <c r="C188" s="17"/>
      <c r="D188" s="17"/>
      <c r="E188" s="17"/>
      <c r="F188" s="17"/>
      <c r="G188" s="17"/>
    </row>
    <row r="189" spans="2:7" ht="13.2" x14ac:dyDescent="0.25">
      <c r="B189" s="17"/>
      <c r="C189" s="17"/>
      <c r="D189" s="17"/>
      <c r="E189" s="17"/>
      <c r="F189" s="17"/>
      <c r="G189" s="17"/>
    </row>
    <row r="190" spans="2:7" ht="13.2" x14ac:dyDescent="0.25">
      <c r="B190" s="17"/>
      <c r="C190" s="17"/>
      <c r="D190" s="17"/>
      <c r="E190" s="17"/>
      <c r="F190" s="17"/>
      <c r="G190" s="17"/>
    </row>
    <row r="191" spans="2:7" ht="13.2" x14ac:dyDescent="0.25">
      <c r="B191" s="17"/>
      <c r="C191" s="17"/>
      <c r="D191" s="17"/>
      <c r="E191" s="17"/>
      <c r="F191" s="17"/>
      <c r="G191" s="17"/>
    </row>
    <row r="192" spans="2:7" ht="13.2" x14ac:dyDescent="0.25">
      <c r="B192" s="17"/>
      <c r="C192" s="17"/>
      <c r="D192" s="17"/>
      <c r="E192" s="17"/>
      <c r="F192" s="17"/>
      <c r="G192" s="17"/>
    </row>
    <row r="193" spans="2:7" ht="13.2" x14ac:dyDescent="0.25">
      <c r="B193" s="17"/>
      <c r="C193" s="17"/>
      <c r="D193" s="17"/>
      <c r="E193" s="17"/>
      <c r="F193" s="17"/>
      <c r="G193" s="17"/>
    </row>
    <row r="194" spans="2:7" ht="13.2" x14ac:dyDescent="0.25">
      <c r="B194" s="17"/>
      <c r="C194" s="17"/>
      <c r="D194" s="17"/>
      <c r="E194" s="17"/>
      <c r="F194" s="17"/>
      <c r="G194" s="17"/>
    </row>
    <row r="195" spans="2:7" ht="13.2" x14ac:dyDescent="0.25">
      <c r="B195" s="17"/>
      <c r="C195" s="17"/>
      <c r="D195" s="17"/>
      <c r="E195" s="17"/>
      <c r="F195" s="17"/>
      <c r="G195" s="17"/>
    </row>
    <row r="196" spans="2:7" ht="13.2" x14ac:dyDescent="0.25">
      <c r="B196" s="17"/>
      <c r="C196" s="17"/>
      <c r="D196" s="17"/>
      <c r="E196" s="17"/>
      <c r="F196" s="17"/>
      <c r="G196" s="17"/>
    </row>
    <row r="197" spans="2:7" ht="13.2" x14ac:dyDescent="0.25">
      <c r="B197" s="17"/>
      <c r="C197" s="17"/>
      <c r="D197" s="17"/>
      <c r="E197" s="17"/>
      <c r="F197" s="17"/>
      <c r="G197" s="17"/>
    </row>
    <row r="198" spans="2:7" ht="13.2" x14ac:dyDescent="0.25">
      <c r="B198" s="17"/>
      <c r="C198" s="17"/>
      <c r="D198" s="17"/>
      <c r="E198" s="17"/>
      <c r="F198" s="17"/>
      <c r="G198" s="17"/>
    </row>
    <row r="199" spans="2:7" ht="13.2" x14ac:dyDescent="0.25">
      <c r="B199" s="17"/>
      <c r="C199" s="17"/>
      <c r="D199" s="17"/>
      <c r="E199" s="17"/>
      <c r="F199" s="17"/>
      <c r="G199" s="17"/>
    </row>
    <row r="200" spans="2:7" ht="13.2" x14ac:dyDescent="0.25">
      <c r="B200" s="17"/>
      <c r="C200" s="17"/>
      <c r="D200" s="17"/>
      <c r="E200" s="17"/>
      <c r="F200" s="17"/>
      <c r="G200" s="17"/>
    </row>
    <row r="201" spans="2:7" ht="13.2" x14ac:dyDescent="0.25">
      <c r="B201" s="17"/>
      <c r="C201" s="17"/>
      <c r="D201" s="17"/>
      <c r="E201" s="17"/>
      <c r="F201" s="17"/>
      <c r="G201" s="17"/>
    </row>
    <row r="202" spans="2:7" ht="13.2" x14ac:dyDescent="0.25">
      <c r="B202" s="17"/>
      <c r="C202" s="17"/>
      <c r="D202" s="17"/>
      <c r="E202" s="17"/>
      <c r="F202" s="17"/>
      <c r="G202" s="17"/>
    </row>
    <row r="203" spans="2:7" ht="13.2" x14ac:dyDescent="0.25">
      <c r="B203" s="17"/>
      <c r="C203" s="17"/>
      <c r="D203" s="17"/>
      <c r="E203" s="17"/>
      <c r="F203" s="17"/>
      <c r="G203" s="17"/>
    </row>
    <row r="204" spans="2:7" ht="13.2" x14ac:dyDescent="0.25">
      <c r="B204" s="17"/>
      <c r="C204" s="17"/>
      <c r="D204" s="17"/>
      <c r="E204" s="17"/>
      <c r="F204" s="17"/>
      <c r="G204" s="17"/>
    </row>
    <row r="205" spans="2:7" ht="13.2" x14ac:dyDescent="0.25">
      <c r="B205" s="17"/>
      <c r="C205" s="17"/>
      <c r="D205" s="17"/>
      <c r="E205" s="17"/>
      <c r="F205" s="17"/>
      <c r="G205" s="17"/>
    </row>
    <row r="206" spans="2:7" ht="13.2" x14ac:dyDescent="0.25">
      <c r="B206" s="17"/>
      <c r="C206" s="17"/>
      <c r="D206" s="17"/>
      <c r="E206" s="17"/>
      <c r="F206" s="17"/>
      <c r="G206" s="17"/>
    </row>
    <row r="207" spans="2:7" ht="13.2" x14ac:dyDescent="0.25">
      <c r="B207" s="17"/>
      <c r="C207" s="17"/>
      <c r="D207" s="17"/>
      <c r="E207" s="17"/>
      <c r="F207" s="17"/>
      <c r="G207" s="17"/>
    </row>
    <row r="208" spans="2:7" ht="13.2" x14ac:dyDescent="0.25">
      <c r="B208" s="17"/>
      <c r="C208" s="17"/>
      <c r="D208" s="17"/>
      <c r="E208" s="17"/>
      <c r="F208" s="17"/>
      <c r="G208" s="17"/>
    </row>
    <row r="209" spans="2:7" ht="13.2" x14ac:dyDescent="0.25">
      <c r="B209" s="17"/>
      <c r="C209" s="17"/>
      <c r="D209" s="17"/>
      <c r="E209" s="17"/>
      <c r="F209" s="17"/>
      <c r="G209" s="17"/>
    </row>
    <row r="210" spans="2:7" ht="13.2" x14ac:dyDescent="0.25">
      <c r="B210" s="17"/>
      <c r="C210" s="17"/>
      <c r="D210" s="17"/>
      <c r="E210" s="17"/>
      <c r="F210" s="17"/>
      <c r="G210" s="17"/>
    </row>
    <row r="211" spans="2:7" ht="13.2" x14ac:dyDescent="0.25">
      <c r="B211" s="17"/>
      <c r="C211" s="17"/>
      <c r="D211" s="17"/>
      <c r="E211" s="17"/>
      <c r="F211" s="17"/>
      <c r="G211" s="17"/>
    </row>
    <row r="212" spans="2:7" ht="13.2" x14ac:dyDescent="0.25">
      <c r="B212" s="17"/>
      <c r="C212" s="17"/>
      <c r="D212" s="17"/>
      <c r="E212" s="17"/>
      <c r="F212" s="17"/>
      <c r="G212" s="17"/>
    </row>
    <row r="213" spans="2:7" ht="13.2" x14ac:dyDescent="0.25">
      <c r="B213" s="17"/>
      <c r="C213" s="17"/>
      <c r="D213" s="17"/>
      <c r="E213" s="17"/>
      <c r="F213" s="17"/>
      <c r="G213" s="17"/>
    </row>
    <row r="214" spans="2:7" ht="13.2" x14ac:dyDescent="0.25">
      <c r="B214" s="17"/>
      <c r="C214" s="17"/>
      <c r="D214" s="17"/>
      <c r="E214" s="17"/>
      <c r="F214" s="17"/>
      <c r="G214" s="17"/>
    </row>
    <row r="215" spans="2:7" ht="13.2" x14ac:dyDescent="0.25">
      <c r="B215" s="17"/>
      <c r="C215" s="17"/>
      <c r="D215" s="17"/>
      <c r="E215" s="17"/>
      <c r="F215" s="17"/>
      <c r="G215" s="17"/>
    </row>
    <row r="216" spans="2:7" ht="13.2" x14ac:dyDescent="0.25">
      <c r="B216" s="17"/>
      <c r="C216" s="17"/>
      <c r="D216" s="17"/>
      <c r="E216" s="17"/>
      <c r="F216" s="17"/>
      <c r="G216" s="17"/>
    </row>
    <row r="217" spans="2:7" ht="13.2" x14ac:dyDescent="0.25">
      <c r="B217" s="17"/>
      <c r="C217" s="17"/>
      <c r="D217" s="17"/>
      <c r="E217" s="17"/>
      <c r="F217" s="17"/>
      <c r="G217" s="17"/>
    </row>
    <row r="218" spans="2:7" ht="13.2" x14ac:dyDescent="0.25">
      <c r="B218" s="17"/>
      <c r="C218" s="17"/>
      <c r="D218" s="17"/>
      <c r="E218" s="17"/>
      <c r="F218" s="17"/>
      <c r="G218" s="17"/>
    </row>
    <row r="219" spans="2:7" ht="13.2" x14ac:dyDescent="0.25">
      <c r="B219" s="17"/>
      <c r="C219" s="17"/>
      <c r="D219" s="17"/>
      <c r="E219" s="17"/>
      <c r="F219" s="17"/>
      <c r="G219" s="17"/>
    </row>
    <row r="220" spans="2:7" ht="13.2" x14ac:dyDescent="0.25">
      <c r="B220" s="17"/>
      <c r="C220" s="17"/>
      <c r="D220" s="17"/>
      <c r="E220" s="17"/>
      <c r="F220" s="17"/>
      <c r="G220" s="17"/>
    </row>
    <row r="221" spans="2:7" ht="13.2" x14ac:dyDescent="0.25">
      <c r="B221" s="17"/>
      <c r="C221" s="17"/>
      <c r="D221" s="17"/>
      <c r="E221" s="17"/>
      <c r="F221" s="17"/>
      <c r="G221" s="17"/>
    </row>
    <row r="222" spans="2:7" ht="13.2" x14ac:dyDescent="0.25">
      <c r="B222" s="17"/>
      <c r="C222" s="17"/>
      <c r="D222" s="17"/>
      <c r="E222" s="17"/>
      <c r="F222" s="17"/>
      <c r="G222" s="17"/>
    </row>
    <row r="223" spans="2:7" ht="13.2" x14ac:dyDescent="0.25">
      <c r="B223" s="17"/>
      <c r="C223" s="17"/>
      <c r="D223" s="17"/>
      <c r="E223" s="17"/>
      <c r="F223" s="17"/>
      <c r="G223" s="17"/>
    </row>
    <row r="224" spans="2:7" ht="13.2" x14ac:dyDescent="0.25">
      <c r="B224" s="17"/>
      <c r="C224" s="17"/>
      <c r="D224" s="17"/>
      <c r="E224" s="17"/>
      <c r="F224" s="17"/>
      <c r="G224" s="17"/>
    </row>
    <row r="225" spans="2:7" ht="13.2" x14ac:dyDescent="0.25">
      <c r="B225" s="17"/>
      <c r="C225" s="17"/>
      <c r="D225" s="17"/>
      <c r="E225" s="17"/>
      <c r="F225" s="17"/>
      <c r="G225" s="17"/>
    </row>
    <row r="226" spans="2:7" ht="13.2" x14ac:dyDescent="0.25">
      <c r="B226" s="17"/>
      <c r="C226" s="17"/>
      <c r="D226" s="17"/>
      <c r="E226" s="17"/>
      <c r="F226" s="17"/>
      <c r="G226" s="17"/>
    </row>
    <row r="227" spans="2:7" ht="13.2" x14ac:dyDescent="0.25">
      <c r="B227" s="17"/>
      <c r="C227" s="17"/>
      <c r="D227" s="17"/>
      <c r="E227" s="17"/>
      <c r="F227" s="17"/>
      <c r="G227" s="17"/>
    </row>
    <row r="228" spans="2:7" ht="13.2" x14ac:dyDescent="0.25">
      <c r="B228" s="17"/>
      <c r="C228" s="17"/>
      <c r="D228" s="17"/>
      <c r="E228" s="17"/>
      <c r="F228" s="17"/>
      <c r="G228" s="17"/>
    </row>
    <row r="229" spans="2:7" ht="13.2" x14ac:dyDescent="0.25">
      <c r="B229" s="17"/>
      <c r="C229" s="17"/>
      <c r="D229" s="17"/>
      <c r="E229" s="17"/>
      <c r="F229" s="17"/>
      <c r="G229" s="17"/>
    </row>
    <row r="230" spans="2:7" ht="13.2" x14ac:dyDescent="0.25">
      <c r="B230" s="17"/>
      <c r="C230" s="17"/>
      <c r="D230" s="17"/>
      <c r="E230" s="17"/>
      <c r="F230" s="17"/>
      <c r="G230" s="17"/>
    </row>
    <row r="231" spans="2:7" ht="13.2" x14ac:dyDescent="0.25">
      <c r="B231" s="17"/>
      <c r="C231" s="17"/>
      <c r="D231" s="17"/>
      <c r="E231" s="17"/>
      <c r="F231" s="17"/>
      <c r="G231" s="17"/>
    </row>
    <row r="232" spans="2:7" ht="13.2" x14ac:dyDescent="0.25">
      <c r="B232" s="17"/>
      <c r="C232" s="17"/>
      <c r="D232" s="17"/>
      <c r="E232" s="17"/>
      <c r="F232" s="17"/>
      <c r="G232" s="17"/>
    </row>
    <row r="233" spans="2:7" ht="13.2" x14ac:dyDescent="0.25">
      <c r="B233" s="17"/>
      <c r="C233" s="17"/>
      <c r="D233" s="17"/>
      <c r="E233" s="17"/>
      <c r="F233" s="17"/>
      <c r="G233" s="17"/>
    </row>
    <row r="234" spans="2:7" ht="13.2" x14ac:dyDescent="0.25">
      <c r="B234" s="17"/>
      <c r="C234" s="17"/>
      <c r="D234" s="17"/>
      <c r="E234" s="17"/>
      <c r="F234" s="17"/>
      <c r="G234" s="17"/>
    </row>
    <row r="235" spans="2:7" ht="13.2" x14ac:dyDescent="0.25">
      <c r="B235" s="17"/>
      <c r="C235" s="17"/>
      <c r="D235" s="17"/>
      <c r="E235" s="17"/>
      <c r="F235" s="17"/>
      <c r="G235" s="17"/>
    </row>
    <row r="236" spans="2:7" ht="13.2" x14ac:dyDescent="0.25">
      <c r="B236" s="17"/>
      <c r="C236" s="17"/>
      <c r="D236" s="17"/>
      <c r="E236" s="17"/>
      <c r="F236" s="17"/>
      <c r="G236" s="17"/>
    </row>
    <row r="237" spans="2:7" ht="13.2" x14ac:dyDescent="0.25">
      <c r="B237" s="17"/>
      <c r="C237" s="17"/>
      <c r="D237" s="17"/>
      <c r="E237" s="17"/>
      <c r="F237" s="17"/>
      <c r="G237" s="17"/>
    </row>
    <row r="238" spans="2:7" ht="13.2" x14ac:dyDescent="0.25">
      <c r="B238" s="17"/>
      <c r="C238" s="17"/>
      <c r="D238" s="17"/>
      <c r="E238" s="17"/>
      <c r="F238" s="17"/>
      <c r="G238" s="17"/>
    </row>
    <row r="239" spans="2:7" ht="13.2" x14ac:dyDescent="0.25">
      <c r="B239" s="17"/>
      <c r="C239" s="17"/>
      <c r="D239" s="17"/>
      <c r="E239" s="17"/>
      <c r="F239" s="17"/>
      <c r="G239" s="17"/>
    </row>
    <row r="240" spans="2:7" ht="13.2" x14ac:dyDescent="0.25">
      <c r="B240" s="17"/>
      <c r="C240" s="17"/>
      <c r="D240" s="17"/>
      <c r="E240" s="17"/>
      <c r="F240" s="17"/>
      <c r="G240" s="17"/>
    </row>
    <row r="241" spans="2:7" ht="13.2" x14ac:dyDescent="0.25">
      <c r="B241" s="17"/>
      <c r="C241" s="17"/>
      <c r="D241" s="17"/>
      <c r="E241" s="17"/>
      <c r="F241" s="17"/>
      <c r="G241" s="17"/>
    </row>
    <row r="242" spans="2:7" ht="13.2" x14ac:dyDescent="0.25">
      <c r="B242" s="17"/>
      <c r="C242" s="17"/>
      <c r="D242" s="17"/>
      <c r="E242" s="17"/>
      <c r="F242" s="17"/>
      <c r="G242" s="17"/>
    </row>
    <row r="243" spans="2:7" ht="13.2" x14ac:dyDescent="0.25">
      <c r="B243" s="17"/>
      <c r="C243" s="17"/>
      <c r="D243" s="17"/>
      <c r="E243" s="17"/>
      <c r="F243" s="17"/>
      <c r="G243" s="17"/>
    </row>
    <row r="244" spans="2:7" ht="13.2" x14ac:dyDescent="0.25">
      <c r="B244" s="17"/>
      <c r="C244" s="17"/>
      <c r="D244" s="17"/>
      <c r="E244" s="17"/>
      <c r="F244" s="17"/>
      <c r="G244" s="17"/>
    </row>
    <row r="245" spans="2:7" ht="13.2" x14ac:dyDescent="0.25">
      <c r="B245" s="17"/>
      <c r="C245" s="17"/>
      <c r="D245" s="17"/>
      <c r="E245" s="17"/>
      <c r="F245" s="17"/>
      <c r="G245" s="17"/>
    </row>
    <row r="246" spans="2:7" ht="13.2" x14ac:dyDescent="0.25">
      <c r="B246" s="17"/>
      <c r="C246" s="17"/>
      <c r="D246" s="17"/>
      <c r="E246" s="17"/>
      <c r="F246" s="17"/>
      <c r="G246" s="17"/>
    </row>
    <row r="247" spans="2:7" ht="13.2" x14ac:dyDescent="0.25">
      <c r="B247" s="17"/>
      <c r="C247" s="17"/>
      <c r="D247" s="17"/>
      <c r="E247" s="17"/>
      <c r="F247" s="17"/>
      <c r="G247" s="17"/>
    </row>
    <row r="248" spans="2:7" ht="13.2" x14ac:dyDescent="0.25">
      <c r="B248" s="17"/>
      <c r="C248" s="17"/>
      <c r="D248" s="17"/>
      <c r="E248" s="17"/>
      <c r="F248" s="17"/>
      <c r="G248" s="17"/>
    </row>
    <row r="249" spans="2:7" ht="13.2" x14ac:dyDescent="0.25">
      <c r="B249" s="17"/>
      <c r="C249" s="17"/>
      <c r="D249" s="17"/>
      <c r="E249" s="17"/>
      <c r="F249" s="17"/>
      <c r="G249" s="17"/>
    </row>
    <row r="250" spans="2:7" ht="13.2" x14ac:dyDescent="0.25">
      <c r="B250" s="17"/>
      <c r="C250" s="17"/>
      <c r="D250" s="17"/>
      <c r="E250" s="17"/>
      <c r="F250" s="17"/>
      <c r="G250" s="17"/>
    </row>
    <row r="251" spans="2:7" ht="13.2" x14ac:dyDescent="0.25">
      <c r="B251" s="17"/>
      <c r="C251" s="17"/>
      <c r="D251" s="17"/>
      <c r="E251" s="17"/>
      <c r="F251" s="17"/>
      <c r="G251" s="17"/>
    </row>
    <row r="252" spans="2:7" ht="13.2" x14ac:dyDescent="0.25">
      <c r="B252" s="17"/>
      <c r="C252" s="17"/>
      <c r="D252" s="17"/>
      <c r="E252" s="17"/>
      <c r="F252" s="17"/>
      <c r="G252" s="17"/>
    </row>
    <row r="253" spans="2:7" ht="13.2" x14ac:dyDescent="0.25">
      <c r="B253" s="17"/>
      <c r="C253" s="17"/>
      <c r="D253" s="17"/>
      <c r="E253" s="17"/>
      <c r="F253" s="17"/>
      <c r="G253" s="17"/>
    </row>
    <row r="254" spans="2:7" ht="13.2" x14ac:dyDescent="0.25">
      <c r="B254" s="17"/>
      <c r="C254" s="17"/>
      <c r="D254" s="17"/>
      <c r="E254" s="17"/>
      <c r="F254" s="17"/>
      <c r="G254" s="17"/>
    </row>
    <row r="255" spans="2:7" ht="13.2" x14ac:dyDescent="0.25">
      <c r="B255" s="17"/>
      <c r="C255" s="17"/>
      <c r="D255" s="17"/>
      <c r="E255" s="17"/>
      <c r="F255" s="17"/>
      <c r="G255" s="17"/>
    </row>
    <row r="256" spans="2:7" ht="13.2" x14ac:dyDescent="0.25">
      <c r="B256" s="17"/>
      <c r="C256" s="17"/>
      <c r="D256" s="17"/>
      <c r="E256" s="17"/>
      <c r="F256" s="17"/>
      <c r="G256" s="17"/>
    </row>
    <row r="257" spans="2:7" ht="13.2" x14ac:dyDescent="0.25">
      <c r="B257" s="17"/>
      <c r="C257" s="17"/>
      <c r="D257" s="17"/>
      <c r="E257" s="17"/>
      <c r="F257" s="17"/>
      <c r="G257" s="17"/>
    </row>
    <row r="258" spans="2:7" ht="13.2" x14ac:dyDescent="0.25">
      <c r="B258" s="17"/>
      <c r="C258" s="17"/>
      <c r="D258" s="17"/>
      <c r="E258" s="17"/>
      <c r="F258" s="17"/>
      <c r="G258" s="17"/>
    </row>
    <row r="259" spans="2:7" ht="13.2" x14ac:dyDescent="0.25">
      <c r="B259" s="17"/>
      <c r="C259" s="17"/>
      <c r="D259" s="17"/>
      <c r="E259" s="17"/>
      <c r="F259" s="17"/>
      <c r="G259" s="17"/>
    </row>
    <row r="260" spans="2:7" ht="13.2" x14ac:dyDescent="0.25">
      <c r="B260" s="17"/>
      <c r="C260" s="17"/>
      <c r="D260" s="17"/>
      <c r="E260" s="17"/>
      <c r="F260" s="17"/>
      <c r="G260" s="17"/>
    </row>
    <row r="261" spans="2:7" ht="13.2" x14ac:dyDescent="0.25">
      <c r="B261" s="17"/>
      <c r="C261" s="17"/>
      <c r="D261" s="17"/>
      <c r="E261" s="17"/>
      <c r="F261" s="17"/>
      <c r="G261" s="17"/>
    </row>
    <row r="262" spans="2:7" ht="13.2" x14ac:dyDescent="0.25">
      <c r="B262" s="17"/>
      <c r="C262" s="17"/>
      <c r="D262" s="17"/>
      <c r="E262" s="17"/>
      <c r="F262" s="17"/>
      <c r="G262" s="17"/>
    </row>
    <row r="263" spans="2:7" ht="13.2" x14ac:dyDescent="0.25">
      <c r="B263" s="17"/>
      <c r="C263" s="17"/>
      <c r="D263" s="17"/>
      <c r="E263" s="17"/>
      <c r="F263" s="17"/>
      <c r="G263" s="17"/>
    </row>
    <row r="264" spans="2:7" ht="13.2" x14ac:dyDescent="0.25">
      <c r="B264" s="17"/>
      <c r="C264" s="17"/>
      <c r="D264" s="17"/>
      <c r="E264" s="17"/>
      <c r="F264" s="17"/>
      <c r="G264" s="17"/>
    </row>
    <row r="265" spans="2:7" ht="13.2" x14ac:dyDescent="0.25">
      <c r="B265" s="17"/>
      <c r="C265" s="17"/>
      <c r="D265" s="17"/>
      <c r="E265" s="17"/>
      <c r="F265" s="17"/>
      <c r="G265" s="17"/>
    </row>
    <row r="266" spans="2:7" ht="13.2" x14ac:dyDescent="0.25">
      <c r="B266" s="17"/>
      <c r="C266" s="17"/>
      <c r="D266" s="17"/>
      <c r="E266" s="17"/>
      <c r="F266" s="17"/>
      <c r="G266" s="17"/>
    </row>
    <row r="267" spans="2:7" ht="13.2" x14ac:dyDescent="0.25">
      <c r="B267" s="17"/>
      <c r="C267" s="17"/>
      <c r="D267" s="17"/>
      <c r="E267" s="17"/>
      <c r="F267" s="17"/>
      <c r="G267" s="17"/>
    </row>
    <row r="268" spans="2:7" ht="13.2" x14ac:dyDescent="0.25">
      <c r="B268" s="17"/>
      <c r="C268" s="17"/>
      <c r="D268" s="17"/>
      <c r="E268" s="17"/>
      <c r="F268" s="17"/>
      <c r="G268" s="17"/>
    </row>
    <row r="269" spans="2:7" ht="13.2" x14ac:dyDescent="0.25">
      <c r="B269" s="17"/>
      <c r="C269" s="17"/>
      <c r="D269" s="17"/>
      <c r="E269" s="17"/>
      <c r="F269" s="17"/>
      <c r="G269" s="17"/>
    </row>
    <row r="270" spans="2:7" ht="13.2" x14ac:dyDescent="0.25">
      <c r="B270" s="17"/>
      <c r="C270" s="17"/>
      <c r="D270" s="17"/>
      <c r="E270" s="17"/>
      <c r="F270" s="17"/>
      <c r="G270" s="17"/>
    </row>
    <row r="271" spans="2:7" ht="13.2" x14ac:dyDescent="0.25">
      <c r="B271" s="17"/>
      <c r="C271" s="17"/>
      <c r="D271" s="17"/>
      <c r="E271" s="17"/>
      <c r="F271" s="17"/>
      <c r="G271" s="17"/>
    </row>
    <row r="272" spans="2:7" ht="13.2" x14ac:dyDescent="0.25">
      <c r="B272" s="17"/>
      <c r="C272" s="17"/>
      <c r="D272" s="17"/>
      <c r="E272" s="17"/>
      <c r="F272" s="17"/>
      <c r="G272" s="17"/>
    </row>
    <row r="273" spans="2:7" ht="13.2" x14ac:dyDescent="0.25">
      <c r="B273" s="17"/>
      <c r="C273" s="17"/>
      <c r="D273" s="17"/>
      <c r="E273" s="17"/>
      <c r="F273" s="17"/>
      <c r="G273" s="17"/>
    </row>
    <row r="274" spans="2:7" ht="13.2" x14ac:dyDescent="0.25">
      <c r="B274" s="17"/>
      <c r="C274" s="17"/>
      <c r="D274" s="17"/>
      <c r="E274" s="17"/>
      <c r="F274" s="17"/>
      <c r="G274" s="17"/>
    </row>
    <row r="275" spans="2:7" ht="13.2" x14ac:dyDescent="0.25">
      <c r="B275" s="17"/>
      <c r="C275" s="17"/>
      <c r="D275" s="17"/>
      <c r="E275" s="17"/>
      <c r="F275" s="17"/>
      <c r="G275" s="17"/>
    </row>
    <row r="276" spans="2:7" ht="13.2" x14ac:dyDescent="0.25">
      <c r="B276" s="17"/>
      <c r="C276" s="17"/>
      <c r="D276" s="17"/>
      <c r="E276" s="17"/>
      <c r="F276" s="17"/>
      <c r="G276" s="17"/>
    </row>
    <row r="277" spans="2:7" ht="13.2" x14ac:dyDescent="0.25">
      <c r="B277" s="17"/>
      <c r="C277" s="17"/>
      <c r="D277" s="17"/>
      <c r="E277" s="17"/>
      <c r="F277" s="17"/>
      <c r="G277" s="17"/>
    </row>
    <row r="278" spans="2:7" ht="13.2" x14ac:dyDescent="0.25">
      <c r="B278" s="17"/>
      <c r="C278" s="17"/>
      <c r="D278" s="17"/>
      <c r="E278" s="17"/>
      <c r="F278" s="17"/>
      <c r="G278" s="17"/>
    </row>
    <row r="279" spans="2:7" ht="13.2" x14ac:dyDescent="0.25">
      <c r="B279" s="17"/>
      <c r="C279" s="17"/>
      <c r="D279" s="17"/>
      <c r="E279" s="17"/>
      <c r="F279" s="17"/>
      <c r="G279" s="17"/>
    </row>
    <row r="280" spans="2:7" ht="13.2" x14ac:dyDescent="0.25">
      <c r="B280" s="17"/>
      <c r="C280" s="17"/>
      <c r="D280" s="17"/>
      <c r="E280" s="17"/>
      <c r="F280" s="17"/>
      <c r="G280" s="17"/>
    </row>
    <row r="281" spans="2:7" ht="13.2" x14ac:dyDescent="0.25">
      <c r="B281" s="17"/>
      <c r="C281" s="17"/>
      <c r="D281" s="17"/>
      <c r="E281" s="17"/>
      <c r="F281" s="17"/>
      <c r="G281" s="17"/>
    </row>
    <row r="282" spans="2:7" ht="13.2" x14ac:dyDescent="0.25">
      <c r="B282" s="17"/>
      <c r="C282" s="17"/>
      <c r="D282" s="17"/>
      <c r="E282" s="17"/>
      <c r="F282" s="17"/>
      <c r="G282" s="17"/>
    </row>
    <row r="283" spans="2:7" ht="13.2" x14ac:dyDescent="0.25">
      <c r="B283" s="17"/>
      <c r="C283" s="17"/>
      <c r="D283" s="17"/>
      <c r="E283" s="17"/>
      <c r="F283" s="17"/>
      <c r="G283" s="17"/>
    </row>
    <row r="284" spans="2:7" ht="13.2" x14ac:dyDescent="0.25">
      <c r="B284" s="17"/>
      <c r="C284" s="17"/>
      <c r="D284" s="17"/>
      <c r="E284" s="17"/>
      <c r="F284" s="17"/>
      <c r="G284" s="17"/>
    </row>
    <row r="285" spans="2:7" ht="13.2" x14ac:dyDescent="0.25">
      <c r="B285" s="17"/>
      <c r="C285" s="17"/>
      <c r="D285" s="17"/>
      <c r="E285" s="17"/>
      <c r="F285" s="17"/>
      <c r="G285" s="17"/>
    </row>
    <row r="286" spans="2:7" ht="13.2" x14ac:dyDescent="0.25">
      <c r="B286" s="17"/>
      <c r="C286" s="17"/>
      <c r="D286" s="17"/>
      <c r="E286" s="17"/>
      <c r="F286" s="17"/>
      <c r="G286" s="17"/>
    </row>
    <row r="287" spans="2:7" ht="13.2" x14ac:dyDescent="0.25">
      <c r="B287" s="17"/>
      <c r="C287" s="17"/>
      <c r="D287" s="17"/>
      <c r="E287" s="17"/>
      <c r="F287" s="17"/>
      <c r="G287" s="17"/>
    </row>
    <row r="288" spans="2:7" ht="13.2" x14ac:dyDescent="0.25">
      <c r="B288" s="17"/>
      <c r="C288" s="17"/>
      <c r="D288" s="17"/>
      <c r="E288" s="17"/>
      <c r="F288" s="17"/>
      <c r="G288" s="17"/>
    </row>
    <row r="289" spans="2:7" ht="13.2" x14ac:dyDescent="0.25">
      <c r="B289" s="17"/>
      <c r="C289" s="17"/>
      <c r="D289" s="17"/>
      <c r="E289" s="17"/>
      <c r="F289" s="17"/>
      <c r="G289" s="17"/>
    </row>
    <row r="290" spans="2:7" ht="13.2" x14ac:dyDescent="0.25">
      <c r="B290" s="17"/>
      <c r="C290" s="17"/>
      <c r="D290" s="17"/>
      <c r="E290" s="17"/>
      <c r="F290" s="17"/>
      <c r="G290" s="17"/>
    </row>
    <row r="291" spans="2:7" ht="13.2" x14ac:dyDescent="0.25">
      <c r="B291" s="17"/>
      <c r="C291" s="17"/>
      <c r="D291" s="17"/>
      <c r="E291" s="17"/>
      <c r="F291" s="17"/>
      <c r="G291" s="17"/>
    </row>
    <row r="292" spans="2:7" ht="13.2" x14ac:dyDescent="0.25">
      <c r="B292" s="17"/>
      <c r="C292" s="17"/>
      <c r="D292" s="17"/>
      <c r="E292" s="17"/>
      <c r="F292" s="17"/>
      <c r="G292" s="17"/>
    </row>
    <row r="293" spans="2:7" ht="13.2" x14ac:dyDescent="0.25">
      <c r="B293" s="17"/>
      <c r="C293" s="17"/>
      <c r="D293" s="17"/>
      <c r="E293" s="17"/>
      <c r="F293" s="17"/>
      <c r="G293" s="17"/>
    </row>
    <row r="294" spans="2:7" ht="13.2" x14ac:dyDescent="0.25">
      <c r="B294" s="17"/>
      <c r="C294" s="17"/>
      <c r="D294" s="17"/>
      <c r="E294" s="17"/>
      <c r="F294" s="17"/>
      <c r="G294" s="17"/>
    </row>
    <row r="295" spans="2:7" ht="13.2" x14ac:dyDescent="0.25">
      <c r="B295" s="17"/>
      <c r="C295" s="17"/>
      <c r="D295" s="17"/>
      <c r="E295" s="17"/>
      <c r="F295" s="17"/>
      <c r="G295" s="17"/>
    </row>
    <row r="296" spans="2:7" ht="13.2" x14ac:dyDescent="0.25">
      <c r="B296" s="17"/>
      <c r="C296" s="17"/>
      <c r="D296" s="17"/>
      <c r="E296" s="17"/>
      <c r="F296" s="17"/>
      <c r="G296" s="17"/>
    </row>
    <row r="297" spans="2:7" ht="13.2" x14ac:dyDescent="0.25">
      <c r="B297" s="17"/>
      <c r="C297" s="17"/>
      <c r="D297" s="17"/>
      <c r="E297" s="17"/>
      <c r="F297" s="17"/>
      <c r="G297" s="17"/>
    </row>
    <row r="298" spans="2:7" ht="13.2" x14ac:dyDescent="0.25">
      <c r="B298" s="17"/>
      <c r="C298" s="17"/>
      <c r="D298" s="17"/>
      <c r="E298" s="17"/>
      <c r="F298" s="17"/>
      <c r="G298" s="17"/>
    </row>
    <row r="299" spans="2:7" ht="13.2" x14ac:dyDescent="0.25">
      <c r="B299" s="17"/>
      <c r="C299" s="17"/>
      <c r="D299" s="17"/>
      <c r="E299" s="17"/>
      <c r="F299" s="17"/>
      <c r="G299" s="17"/>
    </row>
    <row r="300" spans="2:7" ht="13.2" x14ac:dyDescent="0.25">
      <c r="B300" s="17"/>
      <c r="C300" s="17"/>
      <c r="D300" s="17"/>
      <c r="E300" s="17"/>
      <c r="F300" s="17"/>
      <c r="G300" s="17"/>
    </row>
    <row r="301" spans="2:7" ht="13.2" x14ac:dyDescent="0.25">
      <c r="B301" s="17"/>
      <c r="C301" s="17"/>
      <c r="D301" s="17"/>
      <c r="E301" s="17"/>
      <c r="F301" s="17"/>
      <c r="G301" s="17"/>
    </row>
    <row r="302" spans="2:7" ht="13.2" x14ac:dyDescent="0.25">
      <c r="B302" s="17"/>
      <c r="C302" s="17"/>
      <c r="D302" s="17"/>
      <c r="E302" s="17"/>
      <c r="F302" s="17"/>
      <c r="G302" s="17"/>
    </row>
    <row r="303" spans="2:7" ht="13.2" x14ac:dyDescent="0.25">
      <c r="B303" s="17"/>
      <c r="C303" s="17"/>
      <c r="D303" s="17"/>
      <c r="E303" s="17"/>
      <c r="F303" s="17"/>
      <c r="G303" s="17"/>
    </row>
    <row r="304" spans="2:7" ht="13.2" x14ac:dyDescent="0.25">
      <c r="B304" s="17"/>
      <c r="C304" s="17"/>
      <c r="D304" s="17"/>
      <c r="E304" s="17"/>
      <c r="F304" s="17"/>
      <c r="G304" s="17"/>
    </row>
    <row r="305" spans="2:7" ht="13.2" x14ac:dyDescent="0.25">
      <c r="B305" s="17"/>
      <c r="C305" s="17"/>
      <c r="D305" s="17"/>
      <c r="E305" s="17"/>
      <c r="F305" s="17"/>
      <c r="G305" s="17"/>
    </row>
    <row r="306" spans="2:7" ht="13.2" x14ac:dyDescent="0.25">
      <c r="B306" s="17"/>
      <c r="C306" s="17"/>
      <c r="D306" s="17"/>
      <c r="E306" s="17"/>
      <c r="F306" s="17"/>
      <c r="G306" s="17"/>
    </row>
    <row r="307" spans="2:7" ht="13.2" x14ac:dyDescent="0.25">
      <c r="B307" s="17"/>
      <c r="C307" s="17"/>
      <c r="D307" s="17"/>
      <c r="E307" s="17"/>
      <c r="F307" s="17"/>
      <c r="G307" s="17"/>
    </row>
    <row r="308" spans="2:7" ht="13.2" x14ac:dyDescent="0.25">
      <c r="B308" s="17"/>
      <c r="C308" s="17"/>
      <c r="D308" s="17"/>
      <c r="E308" s="17"/>
      <c r="F308" s="17"/>
      <c r="G308" s="17"/>
    </row>
    <row r="309" spans="2:7" ht="13.2" x14ac:dyDescent="0.25">
      <c r="B309" s="17"/>
      <c r="C309" s="17"/>
      <c r="D309" s="17"/>
      <c r="E309" s="17"/>
      <c r="F309" s="17"/>
      <c r="G309" s="17"/>
    </row>
    <row r="310" spans="2:7" ht="13.2" x14ac:dyDescent="0.25">
      <c r="B310" s="17"/>
      <c r="C310" s="17"/>
      <c r="D310" s="17"/>
      <c r="E310" s="17"/>
      <c r="F310" s="17"/>
      <c r="G310" s="17"/>
    </row>
    <row r="311" spans="2:7" ht="13.2" x14ac:dyDescent="0.25">
      <c r="B311" s="17"/>
      <c r="C311" s="17"/>
      <c r="D311" s="17"/>
      <c r="E311" s="17"/>
      <c r="F311" s="17"/>
      <c r="G311" s="17"/>
    </row>
    <row r="312" spans="2:7" ht="13.2" x14ac:dyDescent="0.25">
      <c r="B312" s="17"/>
      <c r="C312" s="17"/>
      <c r="D312" s="17"/>
      <c r="E312" s="17"/>
      <c r="F312" s="17"/>
      <c r="G312" s="17"/>
    </row>
    <row r="313" spans="2:7" ht="13.2" x14ac:dyDescent="0.25">
      <c r="B313" s="17"/>
      <c r="C313" s="17"/>
      <c r="D313" s="17"/>
      <c r="E313" s="17"/>
      <c r="F313" s="17"/>
      <c r="G313" s="17"/>
    </row>
    <row r="314" spans="2:7" ht="13.2" x14ac:dyDescent="0.25">
      <c r="B314" s="17"/>
      <c r="C314" s="17"/>
      <c r="D314" s="17"/>
      <c r="E314" s="17"/>
      <c r="F314" s="17"/>
      <c r="G314" s="17"/>
    </row>
    <row r="315" spans="2:7" ht="13.2" x14ac:dyDescent="0.25">
      <c r="B315" s="17"/>
      <c r="C315" s="17"/>
      <c r="D315" s="17"/>
      <c r="E315" s="17"/>
      <c r="F315" s="17"/>
      <c r="G315" s="17"/>
    </row>
    <row r="316" spans="2:7" ht="13.2" x14ac:dyDescent="0.25">
      <c r="B316" s="17"/>
      <c r="C316" s="17"/>
      <c r="D316" s="17"/>
      <c r="E316" s="17"/>
      <c r="F316" s="17"/>
      <c r="G316" s="17"/>
    </row>
    <row r="317" spans="2:7" ht="13.2" x14ac:dyDescent="0.25">
      <c r="B317" s="17"/>
      <c r="C317" s="17"/>
      <c r="D317" s="17"/>
      <c r="E317" s="17"/>
      <c r="F317" s="17"/>
      <c r="G317" s="17"/>
    </row>
    <row r="318" spans="2:7" ht="13.2" x14ac:dyDescent="0.25">
      <c r="B318" s="17"/>
      <c r="C318" s="17"/>
      <c r="D318" s="17"/>
      <c r="E318" s="17"/>
      <c r="F318" s="17"/>
      <c r="G318" s="17"/>
    </row>
    <row r="319" spans="2:7" ht="13.2" x14ac:dyDescent="0.25">
      <c r="B319" s="17"/>
      <c r="C319" s="17"/>
      <c r="D319" s="17"/>
      <c r="E319" s="17"/>
      <c r="F319" s="17"/>
      <c r="G319" s="17"/>
    </row>
    <row r="320" spans="2:7" ht="13.2" x14ac:dyDescent="0.25">
      <c r="B320" s="17"/>
      <c r="C320" s="17"/>
      <c r="D320" s="17"/>
      <c r="E320" s="17"/>
      <c r="F320" s="17"/>
      <c r="G320" s="17"/>
    </row>
    <row r="321" spans="2:7" ht="13.2" x14ac:dyDescent="0.25">
      <c r="B321" s="17"/>
      <c r="C321" s="17"/>
      <c r="D321" s="17"/>
      <c r="E321" s="17"/>
      <c r="F321" s="17"/>
      <c r="G321" s="17"/>
    </row>
    <row r="322" spans="2:7" ht="13.2" x14ac:dyDescent="0.25">
      <c r="B322" s="17"/>
      <c r="C322" s="17"/>
      <c r="D322" s="17"/>
      <c r="E322" s="17"/>
      <c r="F322" s="17"/>
      <c r="G322" s="17"/>
    </row>
    <row r="323" spans="2:7" ht="13.2" x14ac:dyDescent="0.25">
      <c r="B323" s="17"/>
      <c r="C323" s="17"/>
      <c r="D323" s="17"/>
      <c r="E323" s="17"/>
      <c r="F323" s="17"/>
      <c r="G323" s="17"/>
    </row>
    <row r="324" spans="2:7" ht="13.2" x14ac:dyDescent="0.25">
      <c r="B324" s="17"/>
      <c r="C324" s="17"/>
      <c r="D324" s="17"/>
      <c r="E324" s="17"/>
      <c r="F324" s="17"/>
      <c r="G324" s="17"/>
    </row>
    <row r="325" spans="2:7" ht="13.2" x14ac:dyDescent="0.25">
      <c r="B325" s="17"/>
      <c r="C325" s="17"/>
      <c r="D325" s="17"/>
      <c r="E325" s="17"/>
      <c r="F325" s="17"/>
      <c r="G325" s="17"/>
    </row>
    <row r="326" spans="2:7" ht="13.2" x14ac:dyDescent="0.25">
      <c r="B326" s="17"/>
      <c r="C326" s="17"/>
      <c r="D326" s="17"/>
      <c r="E326" s="17"/>
      <c r="F326" s="17"/>
      <c r="G326" s="17"/>
    </row>
    <row r="327" spans="2:7" ht="13.2" x14ac:dyDescent="0.25">
      <c r="B327" s="17"/>
      <c r="C327" s="17"/>
      <c r="D327" s="17"/>
      <c r="E327" s="17"/>
      <c r="F327" s="17"/>
      <c r="G327" s="17"/>
    </row>
    <row r="328" spans="2:7" ht="13.2" x14ac:dyDescent="0.25">
      <c r="B328" s="17"/>
      <c r="C328" s="17"/>
      <c r="D328" s="17"/>
      <c r="E328" s="17"/>
      <c r="F328" s="17"/>
      <c r="G328" s="17"/>
    </row>
    <row r="329" spans="2:7" ht="13.2" x14ac:dyDescent="0.25">
      <c r="B329" s="17"/>
      <c r="C329" s="17"/>
      <c r="D329" s="17"/>
      <c r="E329" s="17"/>
      <c r="F329" s="17"/>
      <c r="G329" s="17"/>
    </row>
    <row r="330" spans="2:7" ht="13.2" x14ac:dyDescent="0.25">
      <c r="B330" s="17"/>
      <c r="C330" s="17"/>
      <c r="D330" s="17"/>
      <c r="E330" s="17"/>
      <c r="F330" s="17"/>
      <c r="G330" s="17"/>
    </row>
    <row r="331" spans="2:7" ht="13.2" x14ac:dyDescent="0.25">
      <c r="B331" s="17"/>
      <c r="C331" s="17"/>
      <c r="D331" s="17"/>
      <c r="E331" s="17"/>
      <c r="F331" s="17"/>
      <c r="G331" s="17"/>
    </row>
    <row r="332" spans="2:7" ht="13.2" x14ac:dyDescent="0.25">
      <c r="B332" s="17"/>
      <c r="C332" s="17"/>
      <c r="D332" s="17"/>
      <c r="E332" s="17"/>
      <c r="F332" s="17"/>
      <c r="G332" s="17"/>
    </row>
    <row r="333" spans="2:7" ht="13.2" x14ac:dyDescent="0.25">
      <c r="B333" s="17"/>
      <c r="C333" s="17"/>
      <c r="D333" s="17"/>
      <c r="E333" s="17"/>
      <c r="F333" s="17"/>
      <c r="G333" s="17"/>
    </row>
    <row r="334" spans="2:7" ht="13.2" x14ac:dyDescent="0.25">
      <c r="B334" s="17"/>
      <c r="C334" s="17"/>
      <c r="D334" s="17"/>
      <c r="E334" s="17"/>
      <c r="F334" s="17"/>
      <c r="G334" s="17"/>
    </row>
    <row r="335" spans="2:7" ht="13.2" x14ac:dyDescent="0.25">
      <c r="B335" s="17"/>
      <c r="C335" s="17"/>
      <c r="D335" s="17"/>
      <c r="E335" s="17"/>
      <c r="F335" s="17"/>
      <c r="G335" s="17"/>
    </row>
    <row r="336" spans="2:7" ht="13.2" x14ac:dyDescent="0.25">
      <c r="B336" s="17"/>
      <c r="C336" s="17"/>
      <c r="D336" s="17"/>
      <c r="E336" s="17"/>
      <c r="F336" s="17"/>
      <c r="G336" s="17"/>
    </row>
    <row r="337" spans="2:7" ht="13.2" x14ac:dyDescent="0.25">
      <c r="B337" s="17"/>
      <c r="C337" s="17"/>
      <c r="D337" s="17"/>
      <c r="E337" s="17"/>
      <c r="F337" s="17"/>
      <c r="G337" s="17"/>
    </row>
    <row r="338" spans="2:7" ht="13.2" x14ac:dyDescent="0.25">
      <c r="B338" s="17"/>
      <c r="C338" s="17"/>
      <c r="D338" s="17"/>
      <c r="E338" s="17"/>
      <c r="F338" s="17"/>
      <c r="G338" s="17"/>
    </row>
    <row r="339" spans="2:7" ht="13.2" x14ac:dyDescent="0.25">
      <c r="B339" s="17"/>
      <c r="C339" s="17"/>
      <c r="D339" s="17"/>
      <c r="E339" s="17"/>
      <c r="F339" s="17"/>
      <c r="G339" s="17"/>
    </row>
    <row r="340" spans="2:7" ht="13.2" x14ac:dyDescent="0.25">
      <c r="B340" s="17"/>
      <c r="C340" s="17"/>
      <c r="D340" s="17"/>
      <c r="E340" s="17"/>
      <c r="F340" s="17"/>
      <c r="G340" s="17"/>
    </row>
    <row r="341" spans="2:7" ht="13.2" x14ac:dyDescent="0.25">
      <c r="B341" s="17"/>
      <c r="C341" s="17"/>
      <c r="D341" s="17"/>
      <c r="E341" s="17"/>
      <c r="F341" s="17"/>
      <c r="G341" s="17"/>
    </row>
    <row r="342" spans="2:7" ht="13.2" x14ac:dyDescent="0.25">
      <c r="B342" s="17"/>
      <c r="C342" s="17"/>
      <c r="D342" s="17"/>
      <c r="E342" s="17"/>
      <c r="F342" s="17"/>
      <c r="G342" s="17"/>
    </row>
    <row r="343" spans="2:7" ht="13.2" x14ac:dyDescent="0.25">
      <c r="B343" s="17"/>
      <c r="C343" s="17"/>
      <c r="D343" s="17"/>
      <c r="E343" s="17"/>
      <c r="F343" s="17"/>
      <c r="G343" s="17"/>
    </row>
    <row r="344" spans="2:7" ht="13.2" x14ac:dyDescent="0.25">
      <c r="B344" s="17"/>
      <c r="C344" s="17"/>
      <c r="D344" s="17"/>
      <c r="E344" s="17"/>
      <c r="F344" s="17"/>
      <c r="G344" s="17"/>
    </row>
    <row r="345" spans="2:7" ht="13.2" x14ac:dyDescent="0.25">
      <c r="B345" s="17"/>
      <c r="C345" s="17"/>
      <c r="D345" s="17"/>
      <c r="E345" s="17"/>
      <c r="F345" s="17"/>
      <c r="G345" s="17"/>
    </row>
    <row r="346" spans="2:7" ht="13.2" x14ac:dyDescent="0.25">
      <c r="B346" s="17"/>
      <c r="C346" s="17"/>
      <c r="D346" s="17"/>
      <c r="E346" s="17"/>
      <c r="F346" s="17"/>
      <c r="G346" s="17"/>
    </row>
    <row r="347" spans="2:7" ht="13.2" x14ac:dyDescent="0.25">
      <c r="B347" s="17"/>
      <c r="C347" s="17"/>
      <c r="D347" s="17"/>
      <c r="E347" s="17"/>
      <c r="F347" s="17"/>
      <c r="G347" s="17"/>
    </row>
    <row r="348" spans="2:7" ht="13.2" x14ac:dyDescent="0.25">
      <c r="B348" s="17"/>
      <c r="C348" s="17"/>
      <c r="D348" s="17"/>
      <c r="E348" s="17"/>
      <c r="F348" s="17"/>
      <c r="G348" s="17"/>
    </row>
    <row r="349" spans="2:7" ht="13.2" x14ac:dyDescent="0.25">
      <c r="B349" s="17"/>
      <c r="C349" s="17"/>
      <c r="D349" s="17"/>
      <c r="E349" s="17"/>
      <c r="F349" s="17"/>
      <c r="G349" s="17"/>
    </row>
    <row r="350" spans="2:7" ht="13.2" x14ac:dyDescent="0.25">
      <c r="B350" s="17"/>
      <c r="C350" s="17"/>
      <c r="D350" s="17"/>
      <c r="E350" s="17"/>
      <c r="F350" s="17"/>
      <c r="G350" s="17"/>
    </row>
    <row r="351" spans="2:7" ht="13.2" x14ac:dyDescent="0.25">
      <c r="B351" s="17"/>
      <c r="C351" s="17"/>
      <c r="D351" s="17"/>
      <c r="E351" s="17"/>
      <c r="F351" s="17"/>
      <c r="G351" s="17"/>
    </row>
    <row r="352" spans="2:7" ht="13.2" x14ac:dyDescent="0.25">
      <c r="B352" s="17"/>
      <c r="C352" s="17"/>
      <c r="D352" s="17"/>
      <c r="E352" s="17"/>
      <c r="F352" s="17"/>
      <c r="G352" s="17"/>
    </row>
    <row r="353" spans="2:7" ht="13.2" x14ac:dyDescent="0.25">
      <c r="B353" s="17"/>
      <c r="C353" s="17"/>
      <c r="D353" s="17"/>
      <c r="E353" s="17"/>
      <c r="F353" s="17"/>
      <c r="G353" s="17"/>
    </row>
    <row r="354" spans="2:7" ht="13.2" x14ac:dyDescent="0.25">
      <c r="B354" s="17"/>
      <c r="C354" s="17"/>
      <c r="D354" s="17"/>
      <c r="E354" s="17"/>
      <c r="F354" s="17"/>
      <c r="G354" s="17"/>
    </row>
    <row r="355" spans="2:7" ht="13.2" x14ac:dyDescent="0.25">
      <c r="B355" s="17"/>
      <c r="C355" s="17"/>
      <c r="D355" s="17"/>
      <c r="E355" s="17"/>
      <c r="F355" s="17"/>
      <c r="G355" s="17"/>
    </row>
    <row r="356" spans="2:7" ht="13.2" x14ac:dyDescent="0.25">
      <c r="B356" s="17"/>
      <c r="C356" s="17"/>
      <c r="D356" s="17"/>
      <c r="E356" s="17"/>
      <c r="F356" s="17"/>
      <c r="G356" s="17"/>
    </row>
    <row r="357" spans="2:7" ht="13.2" x14ac:dyDescent="0.25">
      <c r="B357" s="17"/>
      <c r="C357" s="17"/>
      <c r="D357" s="17"/>
      <c r="E357" s="17"/>
      <c r="F357" s="17"/>
      <c r="G357" s="17"/>
    </row>
    <row r="358" spans="2:7" ht="13.2" x14ac:dyDescent="0.25">
      <c r="B358" s="17"/>
      <c r="C358" s="17"/>
      <c r="D358" s="17"/>
      <c r="E358" s="17"/>
      <c r="F358" s="17"/>
      <c r="G358" s="17"/>
    </row>
    <row r="359" spans="2:7" ht="13.2" x14ac:dyDescent="0.25">
      <c r="B359" s="17"/>
      <c r="C359" s="17"/>
      <c r="D359" s="17"/>
      <c r="E359" s="17"/>
      <c r="F359" s="17"/>
      <c r="G359" s="17"/>
    </row>
    <row r="360" spans="2:7" ht="13.2" x14ac:dyDescent="0.25">
      <c r="B360" s="17"/>
      <c r="C360" s="17"/>
      <c r="D360" s="17"/>
      <c r="E360" s="17"/>
      <c r="F360" s="17"/>
      <c r="G360" s="17"/>
    </row>
    <row r="361" spans="2:7" ht="13.2" x14ac:dyDescent="0.25">
      <c r="B361" s="17"/>
      <c r="C361" s="17"/>
      <c r="D361" s="17"/>
      <c r="E361" s="17"/>
      <c r="F361" s="17"/>
      <c r="G361" s="17"/>
    </row>
    <row r="362" spans="2:7" ht="13.2" x14ac:dyDescent="0.25">
      <c r="B362" s="17"/>
      <c r="C362" s="17"/>
      <c r="D362" s="17"/>
      <c r="E362" s="17"/>
      <c r="F362" s="17"/>
      <c r="G362" s="17"/>
    </row>
    <row r="363" spans="2:7" ht="13.2" x14ac:dyDescent="0.25">
      <c r="B363" s="17"/>
      <c r="C363" s="17"/>
      <c r="D363" s="17"/>
      <c r="E363" s="17"/>
      <c r="F363" s="17"/>
      <c r="G363" s="17"/>
    </row>
    <row r="364" spans="2:7" ht="13.2" x14ac:dyDescent="0.25">
      <c r="B364" s="17"/>
      <c r="C364" s="17"/>
      <c r="D364" s="17"/>
      <c r="E364" s="17"/>
      <c r="F364" s="17"/>
      <c r="G364" s="17"/>
    </row>
    <row r="365" spans="2:7" ht="13.2" x14ac:dyDescent="0.25">
      <c r="B365" s="17"/>
      <c r="C365" s="17"/>
      <c r="D365" s="17"/>
      <c r="E365" s="17"/>
      <c r="F365" s="17"/>
      <c r="G365" s="17"/>
    </row>
    <row r="366" spans="2:7" ht="13.2" x14ac:dyDescent="0.25">
      <c r="B366" s="17"/>
      <c r="C366" s="17"/>
      <c r="D366" s="17"/>
      <c r="E366" s="17"/>
      <c r="F366" s="17"/>
      <c r="G366" s="17"/>
    </row>
    <row r="367" spans="2:7" ht="13.2" x14ac:dyDescent="0.25">
      <c r="B367" s="17"/>
      <c r="C367" s="17"/>
      <c r="D367" s="17"/>
      <c r="E367" s="17"/>
      <c r="F367" s="17"/>
      <c r="G367" s="17"/>
    </row>
    <row r="368" spans="2:7" ht="13.2" x14ac:dyDescent="0.25">
      <c r="B368" s="17"/>
      <c r="C368" s="17"/>
      <c r="D368" s="17"/>
      <c r="E368" s="17"/>
      <c r="F368" s="17"/>
      <c r="G368" s="17"/>
    </row>
    <row r="369" spans="2:7" ht="13.2" x14ac:dyDescent="0.25">
      <c r="B369" s="17"/>
      <c r="C369" s="17"/>
      <c r="D369" s="17"/>
      <c r="E369" s="17"/>
      <c r="F369" s="17"/>
      <c r="G369" s="17"/>
    </row>
    <row r="370" spans="2:7" ht="13.2" x14ac:dyDescent="0.25">
      <c r="B370" s="17"/>
      <c r="C370" s="17"/>
      <c r="D370" s="17"/>
      <c r="E370" s="17"/>
      <c r="F370" s="17"/>
      <c r="G370" s="17"/>
    </row>
    <row r="371" spans="2:7" ht="13.2" x14ac:dyDescent="0.25">
      <c r="B371" s="17"/>
      <c r="C371" s="17"/>
      <c r="D371" s="17"/>
      <c r="E371" s="17"/>
      <c r="F371" s="17"/>
      <c r="G371" s="17"/>
    </row>
    <row r="372" spans="2:7" ht="13.2" x14ac:dyDescent="0.25">
      <c r="B372" s="17"/>
      <c r="C372" s="17"/>
      <c r="D372" s="17"/>
      <c r="E372" s="17"/>
      <c r="F372" s="17"/>
      <c r="G372" s="17"/>
    </row>
    <row r="373" spans="2:7" ht="13.2" x14ac:dyDescent="0.25">
      <c r="B373" s="17"/>
      <c r="C373" s="17"/>
      <c r="D373" s="17"/>
      <c r="E373" s="17"/>
      <c r="F373" s="17"/>
      <c r="G373" s="17"/>
    </row>
    <row r="374" spans="2:7" ht="13.2" x14ac:dyDescent="0.25">
      <c r="B374" s="17"/>
      <c r="C374" s="17"/>
      <c r="D374" s="17"/>
      <c r="E374" s="17"/>
      <c r="F374" s="17"/>
      <c r="G374" s="17"/>
    </row>
    <row r="375" spans="2:7" ht="13.2" x14ac:dyDescent="0.25">
      <c r="B375" s="17"/>
      <c r="C375" s="17"/>
      <c r="D375" s="17"/>
      <c r="E375" s="17"/>
      <c r="F375" s="17"/>
      <c r="G375" s="17"/>
    </row>
    <row r="376" spans="2:7" ht="13.2" x14ac:dyDescent="0.25">
      <c r="B376" s="17"/>
      <c r="C376" s="17"/>
      <c r="D376" s="17"/>
      <c r="E376" s="17"/>
      <c r="F376" s="17"/>
      <c r="G376" s="17"/>
    </row>
    <row r="377" spans="2:7" ht="13.2" x14ac:dyDescent="0.25">
      <c r="B377" s="17"/>
      <c r="C377" s="17"/>
      <c r="D377" s="17"/>
      <c r="E377" s="17"/>
      <c r="F377" s="17"/>
      <c r="G377" s="17"/>
    </row>
    <row r="378" spans="2:7" ht="13.2" x14ac:dyDescent="0.25">
      <c r="B378" s="17"/>
      <c r="C378" s="17"/>
      <c r="D378" s="17"/>
      <c r="E378" s="17"/>
      <c r="F378" s="17"/>
      <c r="G378" s="17"/>
    </row>
    <row r="379" spans="2:7" ht="13.2" x14ac:dyDescent="0.25">
      <c r="B379" s="17"/>
      <c r="C379" s="17"/>
      <c r="D379" s="17"/>
      <c r="E379" s="17"/>
      <c r="F379" s="17"/>
      <c r="G379" s="17"/>
    </row>
    <row r="380" spans="2:7" ht="13.2" x14ac:dyDescent="0.25">
      <c r="B380" s="17"/>
      <c r="C380" s="17"/>
      <c r="D380" s="17"/>
      <c r="E380" s="17"/>
      <c r="F380" s="17"/>
      <c r="G380" s="17"/>
    </row>
    <row r="381" spans="2:7" ht="13.2" x14ac:dyDescent="0.25">
      <c r="B381" s="17"/>
      <c r="C381" s="17"/>
      <c r="D381" s="17"/>
      <c r="E381" s="17"/>
      <c r="F381" s="17"/>
      <c r="G381" s="17"/>
    </row>
    <row r="382" spans="2:7" ht="13.2" x14ac:dyDescent="0.25">
      <c r="B382" s="17"/>
      <c r="C382" s="17"/>
      <c r="D382" s="17"/>
      <c r="E382" s="17"/>
      <c r="F382" s="17"/>
      <c r="G382" s="17"/>
    </row>
    <row r="383" spans="2:7" ht="13.2" x14ac:dyDescent="0.25">
      <c r="B383" s="17"/>
      <c r="C383" s="17"/>
      <c r="D383" s="17"/>
      <c r="E383" s="17"/>
      <c r="F383" s="17"/>
      <c r="G383" s="17"/>
    </row>
    <row r="384" spans="2:7" ht="13.2" x14ac:dyDescent="0.25">
      <c r="B384" s="17"/>
      <c r="C384" s="17"/>
      <c r="D384" s="17"/>
      <c r="E384" s="17"/>
      <c r="F384" s="17"/>
      <c r="G384" s="17"/>
    </row>
    <row r="385" spans="2:7" ht="13.2" x14ac:dyDescent="0.25">
      <c r="B385" s="17"/>
      <c r="C385" s="17"/>
      <c r="D385" s="17"/>
      <c r="E385" s="17"/>
      <c r="F385" s="17"/>
      <c r="G385" s="17"/>
    </row>
    <row r="386" spans="2:7" ht="13.2" x14ac:dyDescent="0.25">
      <c r="B386" s="17"/>
      <c r="C386" s="17"/>
      <c r="D386" s="17"/>
      <c r="E386" s="17"/>
      <c r="F386" s="17"/>
      <c r="G386" s="17"/>
    </row>
    <row r="387" spans="2:7" ht="13.2" x14ac:dyDescent="0.25">
      <c r="B387" s="17"/>
      <c r="C387" s="17"/>
      <c r="D387" s="17"/>
      <c r="E387" s="17"/>
      <c r="F387" s="17"/>
      <c r="G387" s="17"/>
    </row>
    <row r="388" spans="2:7" ht="13.2" x14ac:dyDescent="0.25">
      <c r="B388" s="17"/>
      <c r="C388" s="17"/>
      <c r="D388" s="17"/>
      <c r="E388" s="17"/>
      <c r="F388" s="17"/>
      <c r="G388" s="17"/>
    </row>
    <row r="389" spans="2:7" ht="13.2" x14ac:dyDescent="0.25">
      <c r="B389" s="17"/>
      <c r="C389" s="17"/>
      <c r="D389" s="17"/>
      <c r="E389" s="17"/>
      <c r="F389" s="17"/>
      <c r="G389" s="17"/>
    </row>
    <row r="390" spans="2:7" ht="13.2" x14ac:dyDescent="0.25">
      <c r="B390" s="17"/>
      <c r="C390" s="17"/>
      <c r="D390" s="17"/>
      <c r="E390" s="17"/>
      <c r="F390" s="17"/>
      <c r="G390" s="17"/>
    </row>
    <row r="391" spans="2:7" ht="13.2" x14ac:dyDescent="0.25">
      <c r="B391" s="17"/>
      <c r="C391" s="17"/>
      <c r="D391" s="17"/>
      <c r="E391" s="17"/>
      <c r="F391" s="17"/>
      <c r="G391" s="17"/>
    </row>
    <row r="392" spans="2:7" ht="13.2" x14ac:dyDescent="0.25">
      <c r="B392" s="17"/>
      <c r="C392" s="17"/>
      <c r="D392" s="17"/>
      <c r="E392" s="17"/>
      <c r="F392" s="17"/>
      <c r="G392" s="17"/>
    </row>
    <row r="393" spans="2:7" ht="13.2" x14ac:dyDescent="0.25">
      <c r="B393" s="17"/>
      <c r="C393" s="17"/>
      <c r="D393" s="17"/>
      <c r="E393" s="17"/>
      <c r="F393" s="17"/>
      <c r="G393" s="17"/>
    </row>
    <row r="394" spans="2:7" ht="13.2" x14ac:dyDescent="0.25">
      <c r="B394" s="17"/>
      <c r="C394" s="17"/>
      <c r="D394" s="17"/>
      <c r="E394" s="17"/>
      <c r="F394" s="17"/>
      <c r="G394" s="17"/>
    </row>
    <row r="395" spans="2:7" ht="13.2" x14ac:dyDescent="0.25">
      <c r="B395" s="17"/>
      <c r="C395" s="17"/>
      <c r="D395" s="17"/>
      <c r="E395" s="17"/>
      <c r="F395" s="17"/>
      <c r="G395" s="17"/>
    </row>
    <row r="396" spans="2:7" ht="13.2" x14ac:dyDescent="0.25">
      <c r="B396" s="17"/>
      <c r="C396" s="17"/>
      <c r="D396" s="17"/>
      <c r="E396" s="17"/>
      <c r="F396" s="17"/>
      <c r="G396" s="17"/>
    </row>
    <row r="397" spans="2:7" ht="13.2" x14ac:dyDescent="0.25">
      <c r="B397" s="17"/>
      <c r="C397" s="17"/>
      <c r="D397" s="17"/>
      <c r="E397" s="17"/>
      <c r="F397" s="17"/>
      <c r="G397" s="17"/>
    </row>
    <row r="398" spans="2:7" ht="13.2" x14ac:dyDescent="0.25">
      <c r="B398" s="17"/>
      <c r="C398" s="17"/>
      <c r="D398" s="17"/>
      <c r="E398" s="17"/>
      <c r="F398" s="17"/>
      <c r="G398" s="17"/>
    </row>
    <row r="399" spans="2:7" ht="13.2" x14ac:dyDescent="0.25">
      <c r="B399" s="17"/>
      <c r="C399" s="17"/>
      <c r="D399" s="17"/>
      <c r="E399" s="17"/>
      <c r="F399" s="17"/>
      <c r="G399" s="17"/>
    </row>
    <row r="400" spans="2:7" ht="13.2" x14ac:dyDescent="0.25">
      <c r="B400" s="17"/>
      <c r="C400" s="17"/>
      <c r="D400" s="17"/>
      <c r="E400" s="17"/>
      <c r="F400" s="17"/>
      <c r="G400" s="17"/>
    </row>
    <row r="401" spans="2:7" ht="13.2" x14ac:dyDescent="0.25">
      <c r="B401" s="17"/>
      <c r="C401" s="17"/>
      <c r="D401" s="17"/>
      <c r="E401" s="17"/>
      <c r="F401" s="17"/>
      <c r="G401" s="17"/>
    </row>
    <row r="402" spans="2:7" ht="13.2" x14ac:dyDescent="0.25">
      <c r="B402" s="17"/>
      <c r="C402" s="17"/>
      <c r="D402" s="17"/>
      <c r="E402" s="17"/>
      <c r="F402" s="17"/>
      <c r="G402" s="17"/>
    </row>
    <row r="403" spans="2:7" ht="13.2" x14ac:dyDescent="0.25">
      <c r="B403" s="17"/>
      <c r="C403" s="17"/>
      <c r="D403" s="17"/>
      <c r="E403" s="17"/>
      <c r="F403" s="17"/>
      <c r="G403" s="17"/>
    </row>
    <row r="404" spans="2:7" ht="13.2" x14ac:dyDescent="0.25">
      <c r="B404" s="17"/>
      <c r="C404" s="17"/>
      <c r="D404" s="17"/>
      <c r="E404" s="17"/>
      <c r="F404" s="17"/>
      <c r="G404" s="17"/>
    </row>
    <row r="405" spans="2:7" ht="13.2" x14ac:dyDescent="0.25">
      <c r="B405" s="17"/>
      <c r="C405" s="17"/>
      <c r="D405" s="17"/>
      <c r="E405" s="17"/>
      <c r="F405" s="17"/>
      <c r="G405" s="17"/>
    </row>
    <row r="406" spans="2:7" ht="13.2" x14ac:dyDescent="0.25">
      <c r="B406" s="17"/>
      <c r="C406" s="17"/>
      <c r="D406" s="17"/>
      <c r="E406" s="17"/>
      <c r="F406" s="17"/>
      <c r="G406" s="17"/>
    </row>
    <row r="407" spans="2:7" ht="13.2" x14ac:dyDescent="0.25">
      <c r="B407" s="17"/>
      <c r="C407" s="17"/>
      <c r="D407" s="17"/>
      <c r="E407" s="17"/>
      <c r="F407" s="17"/>
      <c r="G407" s="17"/>
    </row>
    <row r="408" spans="2:7" ht="13.2" x14ac:dyDescent="0.25">
      <c r="B408" s="17"/>
      <c r="C408" s="17"/>
      <c r="D408" s="17"/>
      <c r="E408" s="17"/>
      <c r="F408" s="17"/>
      <c r="G408" s="17"/>
    </row>
    <row r="409" spans="2:7" ht="13.2" x14ac:dyDescent="0.25">
      <c r="B409" s="17"/>
      <c r="C409" s="17"/>
      <c r="D409" s="17"/>
      <c r="E409" s="17"/>
      <c r="F409" s="17"/>
      <c r="G409" s="17"/>
    </row>
    <row r="410" spans="2:7" ht="13.2" x14ac:dyDescent="0.25">
      <c r="B410" s="17"/>
      <c r="C410" s="17"/>
      <c r="D410" s="17"/>
      <c r="E410" s="17"/>
      <c r="F410" s="17"/>
      <c r="G410" s="17"/>
    </row>
    <row r="411" spans="2:7" ht="13.2" x14ac:dyDescent="0.25">
      <c r="B411" s="17"/>
      <c r="C411" s="17"/>
      <c r="D411" s="17"/>
      <c r="E411" s="17"/>
      <c r="F411" s="17"/>
      <c r="G411" s="17"/>
    </row>
    <row r="412" spans="2:7" ht="13.2" x14ac:dyDescent="0.25">
      <c r="B412" s="17"/>
      <c r="C412" s="17"/>
      <c r="D412" s="17"/>
      <c r="E412" s="17"/>
      <c r="F412" s="17"/>
      <c r="G412" s="17"/>
    </row>
    <row r="413" spans="2:7" ht="13.2" x14ac:dyDescent="0.25">
      <c r="B413" s="17"/>
      <c r="C413" s="17"/>
      <c r="D413" s="17"/>
      <c r="E413" s="17"/>
      <c r="F413" s="17"/>
      <c r="G413" s="17"/>
    </row>
    <row r="414" spans="2:7" ht="13.2" x14ac:dyDescent="0.25">
      <c r="B414" s="17"/>
      <c r="C414" s="17"/>
      <c r="D414" s="17"/>
      <c r="E414" s="17"/>
      <c r="F414" s="17"/>
      <c r="G414" s="17"/>
    </row>
    <row r="415" spans="2:7" ht="13.2" x14ac:dyDescent="0.25">
      <c r="B415" s="17"/>
      <c r="C415" s="17"/>
      <c r="D415" s="17"/>
      <c r="E415" s="17"/>
      <c r="F415" s="17"/>
      <c r="G415" s="17"/>
    </row>
    <row r="416" spans="2:7" ht="13.2" x14ac:dyDescent="0.25">
      <c r="B416" s="17"/>
      <c r="C416" s="17"/>
      <c r="D416" s="17"/>
      <c r="E416" s="17"/>
      <c r="F416" s="17"/>
      <c r="G416" s="17"/>
    </row>
    <row r="417" spans="2:7" ht="13.2" x14ac:dyDescent="0.25">
      <c r="B417" s="17"/>
      <c r="C417" s="17"/>
      <c r="D417" s="17"/>
      <c r="E417" s="17"/>
      <c r="F417" s="17"/>
      <c r="G417" s="17"/>
    </row>
    <row r="418" spans="2:7" ht="13.2" x14ac:dyDescent="0.25">
      <c r="B418" s="17"/>
      <c r="C418" s="17"/>
      <c r="D418" s="17"/>
      <c r="E418" s="17"/>
      <c r="F418" s="17"/>
      <c r="G418" s="17"/>
    </row>
    <row r="419" spans="2:7" ht="13.2" x14ac:dyDescent="0.25">
      <c r="B419" s="17"/>
      <c r="C419" s="17"/>
      <c r="D419" s="17"/>
      <c r="E419" s="17"/>
      <c r="F419" s="17"/>
      <c r="G419" s="17"/>
    </row>
    <row r="420" spans="2:7" ht="13.2" x14ac:dyDescent="0.25">
      <c r="B420" s="17"/>
      <c r="C420" s="17"/>
      <c r="D420" s="17"/>
      <c r="E420" s="17"/>
      <c r="F420" s="17"/>
      <c r="G420" s="17"/>
    </row>
    <row r="421" spans="2:7" ht="13.2" x14ac:dyDescent="0.25">
      <c r="B421" s="17"/>
      <c r="C421" s="17"/>
      <c r="D421" s="17"/>
      <c r="E421" s="17"/>
      <c r="F421" s="17"/>
      <c r="G421" s="17"/>
    </row>
    <row r="422" spans="2:7" ht="13.2" x14ac:dyDescent="0.25">
      <c r="B422" s="17"/>
      <c r="C422" s="17"/>
      <c r="D422" s="17"/>
      <c r="E422" s="17"/>
      <c r="F422" s="17"/>
      <c r="G422" s="17"/>
    </row>
    <row r="423" spans="2:7" ht="13.2" x14ac:dyDescent="0.25">
      <c r="B423" s="17"/>
      <c r="C423" s="17"/>
      <c r="D423" s="17"/>
      <c r="E423" s="17"/>
      <c r="F423" s="17"/>
      <c r="G423" s="17"/>
    </row>
    <row r="424" spans="2:7" ht="13.2" x14ac:dyDescent="0.25">
      <c r="B424" s="17"/>
      <c r="C424" s="17"/>
      <c r="D424" s="17"/>
      <c r="E424" s="17"/>
      <c r="F424" s="17"/>
      <c r="G424" s="17"/>
    </row>
    <row r="425" spans="2:7" ht="13.2" x14ac:dyDescent="0.25">
      <c r="B425" s="17"/>
      <c r="C425" s="17"/>
      <c r="D425" s="17"/>
      <c r="E425" s="17"/>
      <c r="F425" s="17"/>
      <c r="G425" s="17"/>
    </row>
    <row r="426" spans="2:7" ht="13.2" x14ac:dyDescent="0.25">
      <c r="B426" s="17"/>
      <c r="C426" s="17"/>
      <c r="D426" s="17"/>
      <c r="E426" s="17"/>
      <c r="F426" s="17"/>
      <c r="G426" s="17"/>
    </row>
    <row r="427" spans="2:7" ht="13.2" x14ac:dyDescent="0.25">
      <c r="B427" s="17"/>
      <c r="C427" s="17"/>
      <c r="D427" s="17"/>
      <c r="E427" s="17"/>
      <c r="F427" s="17"/>
      <c r="G427" s="17"/>
    </row>
    <row r="428" spans="2:7" ht="13.2" x14ac:dyDescent="0.25">
      <c r="B428" s="17"/>
      <c r="C428" s="17"/>
      <c r="D428" s="17"/>
      <c r="E428" s="17"/>
      <c r="F428" s="17"/>
      <c r="G428" s="17"/>
    </row>
    <row r="429" spans="2:7" ht="13.2" x14ac:dyDescent="0.25">
      <c r="B429" s="17"/>
      <c r="C429" s="17"/>
      <c r="D429" s="17"/>
      <c r="E429" s="17"/>
      <c r="F429" s="17"/>
      <c r="G429" s="17"/>
    </row>
    <row r="430" spans="2:7" ht="13.2" x14ac:dyDescent="0.25">
      <c r="B430" s="17"/>
      <c r="C430" s="17"/>
      <c r="D430" s="17"/>
      <c r="E430" s="17"/>
      <c r="F430" s="17"/>
      <c r="G430" s="17"/>
    </row>
    <row r="431" spans="2:7" ht="13.2" x14ac:dyDescent="0.25">
      <c r="B431" s="17"/>
      <c r="C431" s="17"/>
      <c r="D431" s="17"/>
      <c r="E431" s="17"/>
      <c r="F431" s="17"/>
      <c r="G431" s="17"/>
    </row>
    <row r="432" spans="2:7" ht="13.2" x14ac:dyDescent="0.25">
      <c r="B432" s="17"/>
      <c r="C432" s="17"/>
      <c r="D432" s="17"/>
      <c r="E432" s="17"/>
      <c r="F432" s="17"/>
      <c r="G432" s="17"/>
    </row>
    <row r="433" spans="2:7" ht="13.2" x14ac:dyDescent="0.25">
      <c r="B433" s="17"/>
      <c r="C433" s="17"/>
      <c r="D433" s="17"/>
      <c r="E433" s="17"/>
      <c r="F433" s="17"/>
      <c r="G433" s="17"/>
    </row>
    <row r="434" spans="2:7" ht="13.2" x14ac:dyDescent="0.25">
      <c r="B434" s="17"/>
      <c r="C434" s="17"/>
      <c r="D434" s="17"/>
      <c r="E434" s="17"/>
      <c r="F434" s="17"/>
      <c r="G434" s="17"/>
    </row>
    <row r="435" spans="2:7" ht="13.2" x14ac:dyDescent="0.25">
      <c r="B435" s="17"/>
      <c r="C435" s="17"/>
      <c r="D435" s="17"/>
      <c r="E435" s="17"/>
      <c r="F435" s="17"/>
      <c r="G435" s="17"/>
    </row>
    <row r="436" spans="2:7" ht="13.2" x14ac:dyDescent="0.25">
      <c r="B436" s="17"/>
      <c r="C436" s="17"/>
      <c r="D436" s="17"/>
      <c r="E436" s="17"/>
      <c r="F436" s="17"/>
      <c r="G436" s="17"/>
    </row>
    <row r="437" spans="2:7" ht="13.2" x14ac:dyDescent="0.25">
      <c r="B437" s="17"/>
      <c r="C437" s="17"/>
      <c r="D437" s="17"/>
      <c r="E437" s="17"/>
      <c r="F437" s="17"/>
      <c r="G437" s="17"/>
    </row>
    <row r="438" spans="2:7" ht="13.2" x14ac:dyDescent="0.25">
      <c r="B438" s="17"/>
      <c r="C438" s="17"/>
      <c r="D438" s="17"/>
      <c r="E438" s="17"/>
      <c r="F438" s="17"/>
      <c r="G438" s="17"/>
    </row>
    <row r="439" spans="2:7" ht="13.2" x14ac:dyDescent="0.25">
      <c r="B439" s="17"/>
      <c r="C439" s="17"/>
      <c r="D439" s="17"/>
      <c r="E439" s="17"/>
      <c r="F439" s="17"/>
      <c r="G439" s="17"/>
    </row>
    <row r="440" spans="2:7" ht="13.2" x14ac:dyDescent="0.25">
      <c r="B440" s="17"/>
      <c r="C440" s="17"/>
      <c r="D440" s="17"/>
      <c r="E440" s="17"/>
      <c r="F440" s="17"/>
      <c r="G440" s="17"/>
    </row>
    <row r="441" spans="2:7" ht="13.2" x14ac:dyDescent="0.25">
      <c r="B441" s="17"/>
      <c r="C441" s="17"/>
      <c r="D441" s="17"/>
      <c r="E441" s="17"/>
      <c r="F441" s="17"/>
      <c r="G441" s="17"/>
    </row>
    <row r="442" spans="2:7" ht="13.2" x14ac:dyDescent="0.25">
      <c r="B442" s="17"/>
      <c r="C442" s="17"/>
      <c r="D442" s="17"/>
      <c r="E442" s="17"/>
      <c r="F442" s="17"/>
      <c r="G442" s="17"/>
    </row>
    <row r="443" spans="2:7" ht="13.2" x14ac:dyDescent="0.25">
      <c r="B443" s="17"/>
      <c r="C443" s="17"/>
      <c r="D443" s="17"/>
      <c r="E443" s="17"/>
      <c r="F443" s="17"/>
      <c r="G443" s="17"/>
    </row>
    <row r="444" spans="2:7" ht="13.2" x14ac:dyDescent="0.25">
      <c r="B444" s="17"/>
      <c r="C444" s="17"/>
      <c r="D444" s="17"/>
      <c r="E444" s="17"/>
      <c r="F444" s="17"/>
      <c r="G444" s="17"/>
    </row>
    <row r="445" spans="2:7" ht="13.2" x14ac:dyDescent="0.25">
      <c r="B445" s="17"/>
      <c r="C445" s="17"/>
      <c r="D445" s="17"/>
      <c r="E445" s="17"/>
      <c r="F445" s="17"/>
      <c r="G445" s="17"/>
    </row>
    <row r="446" spans="2:7" ht="13.2" x14ac:dyDescent="0.25">
      <c r="B446" s="17"/>
      <c r="C446" s="17"/>
      <c r="D446" s="17"/>
      <c r="E446" s="17"/>
      <c r="F446" s="17"/>
      <c r="G446" s="17"/>
    </row>
    <row r="447" spans="2:7" ht="13.2" x14ac:dyDescent="0.25">
      <c r="B447" s="17"/>
      <c r="C447" s="17"/>
      <c r="D447" s="17"/>
      <c r="E447" s="17"/>
      <c r="F447" s="17"/>
      <c r="G447" s="17"/>
    </row>
    <row r="448" spans="2:7" ht="13.2" x14ac:dyDescent="0.25">
      <c r="B448" s="17"/>
      <c r="C448" s="17"/>
      <c r="D448" s="17"/>
      <c r="E448" s="17"/>
      <c r="F448" s="17"/>
      <c r="G448" s="17"/>
    </row>
    <row r="449" spans="2:7" ht="13.2" x14ac:dyDescent="0.25">
      <c r="B449" s="17"/>
      <c r="C449" s="17"/>
      <c r="D449" s="17"/>
      <c r="E449" s="17"/>
      <c r="F449" s="17"/>
      <c r="G449" s="17"/>
    </row>
    <row r="450" spans="2:7" ht="13.2" x14ac:dyDescent="0.25">
      <c r="B450" s="17"/>
      <c r="C450" s="17"/>
      <c r="D450" s="17"/>
      <c r="E450" s="17"/>
      <c r="F450" s="17"/>
      <c r="G450" s="17"/>
    </row>
    <row r="451" spans="2:7" ht="13.2" x14ac:dyDescent="0.25">
      <c r="B451" s="17"/>
      <c r="C451" s="17"/>
      <c r="D451" s="17"/>
      <c r="E451" s="17"/>
      <c r="F451" s="17"/>
      <c r="G451" s="17"/>
    </row>
    <row r="452" spans="2:7" ht="13.2" x14ac:dyDescent="0.25">
      <c r="B452" s="17"/>
      <c r="C452" s="17"/>
      <c r="D452" s="17"/>
      <c r="E452" s="17"/>
      <c r="F452" s="17"/>
      <c r="G452" s="17"/>
    </row>
    <row r="453" spans="2:7" ht="13.2" x14ac:dyDescent="0.25">
      <c r="B453" s="17"/>
      <c r="C453" s="17"/>
      <c r="D453" s="17"/>
      <c r="E453" s="17"/>
      <c r="F453" s="17"/>
      <c r="G453" s="17"/>
    </row>
    <row r="454" spans="2:7" ht="13.2" x14ac:dyDescent="0.25">
      <c r="B454" s="17"/>
      <c r="C454" s="17"/>
      <c r="D454" s="17"/>
      <c r="E454" s="17"/>
      <c r="F454" s="17"/>
      <c r="G454" s="17"/>
    </row>
    <row r="455" spans="2:7" ht="13.2" x14ac:dyDescent="0.25">
      <c r="B455" s="17"/>
      <c r="C455" s="17"/>
      <c r="D455" s="17"/>
      <c r="E455" s="17"/>
      <c r="F455" s="17"/>
      <c r="G455" s="17"/>
    </row>
    <row r="456" spans="2:7" ht="13.2" x14ac:dyDescent="0.25">
      <c r="B456" s="17"/>
      <c r="C456" s="17"/>
      <c r="D456" s="17"/>
      <c r="E456" s="17"/>
      <c r="F456" s="17"/>
      <c r="G456" s="17"/>
    </row>
    <row r="457" spans="2:7" ht="13.2" x14ac:dyDescent="0.25">
      <c r="B457" s="17"/>
      <c r="C457" s="17"/>
      <c r="D457" s="17"/>
      <c r="E457" s="17"/>
      <c r="F457" s="17"/>
      <c r="G457" s="17"/>
    </row>
    <row r="458" spans="2:7" ht="13.2" x14ac:dyDescent="0.25">
      <c r="B458" s="17"/>
      <c r="C458" s="17"/>
      <c r="D458" s="17"/>
      <c r="E458" s="17"/>
      <c r="F458" s="17"/>
      <c r="G458" s="17"/>
    </row>
    <row r="459" spans="2:7" ht="13.2" x14ac:dyDescent="0.25">
      <c r="B459" s="17"/>
      <c r="C459" s="17"/>
      <c r="D459" s="17"/>
      <c r="E459" s="17"/>
      <c r="F459" s="17"/>
      <c r="G459" s="17"/>
    </row>
    <row r="460" spans="2:7" ht="13.2" x14ac:dyDescent="0.25">
      <c r="B460" s="17"/>
      <c r="C460" s="17"/>
      <c r="D460" s="17"/>
      <c r="E460" s="17"/>
      <c r="F460" s="17"/>
      <c r="G460" s="17"/>
    </row>
    <row r="461" spans="2:7" ht="13.2" x14ac:dyDescent="0.25">
      <c r="B461" s="17"/>
      <c r="C461" s="17"/>
      <c r="D461" s="17"/>
      <c r="E461" s="17"/>
      <c r="F461" s="17"/>
      <c r="G461" s="17"/>
    </row>
    <row r="462" spans="2:7" ht="13.2" x14ac:dyDescent="0.25">
      <c r="B462" s="17"/>
      <c r="C462" s="17"/>
      <c r="D462" s="17"/>
      <c r="E462" s="17"/>
      <c r="F462" s="17"/>
      <c r="G462" s="17"/>
    </row>
    <row r="463" spans="2:7" ht="13.2" x14ac:dyDescent="0.25">
      <c r="B463" s="17"/>
      <c r="C463" s="17"/>
      <c r="D463" s="17"/>
      <c r="E463" s="17"/>
      <c r="F463" s="17"/>
      <c r="G463" s="17"/>
    </row>
    <row r="464" spans="2:7" ht="13.2" x14ac:dyDescent="0.25">
      <c r="B464" s="17"/>
      <c r="C464" s="17"/>
      <c r="D464" s="17"/>
      <c r="E464" s="17"/>
      <c r="F464" s="17"/>
      <c r="G464" s="17"/>
    </row>
    <row r="465" spans="2:7" ht="13.2" x14ac:dyDescent="0.25">
      <c r="B465" s="17"/>
      <c r="C465" s="17"/>
      <c r="D465" s="17"/>
      <c r="E465" s="17"/>
      <c r="F465" s="17"/>
      <c r="G465" s="17"/>
    </row>
    <row r="466" spans="2:7" ht="13.2" x14ac:dyDescent="0.25">
      <c r="B466" s="17"/>
      <c r="C466" s="17"/>
      <c r="D466" s="17"/>
      <c r="E466" s="17"/>
      <c r="F466" s="17"/>
      <c r="G466" s="17"/>
    </row>
    <row r="467" spans="2:7" ht="13.2" x14ac:dyDescent="0.25">
      <c r="B467" s="17"/>
      <c r="C467" s="17"/>
      <c r="D467" s="17"/>
      <c r="E467" s="17"/>
      <c r="F467" s="17"/>
      <c r="G467" s="17"/>
    </row>
    <row r="468" spans="2:7" ht="13.2" x14ac:dyDescent="0.25">
      <c r="B468" s="17"/>
      <c r="C468" s="17"/>
      <c r="D468" s="17"/>
      <c r="E468" s="17"/>
      <c r="F468" s="17"/>
      <c r="G468" s="17"/>
    </row>
    <row r="469" spans="2:7" ht="13.2" x14ac:dyDescent="0.25">
      <c r="B469" s="17"/>
      <c r="C469" s="17"/>
      <c r="D469" s="17"/>
      <c r="E469" s="17"/>
      <c r="F469" s="17"/>
      <c r="G469" s="17"/>
    </row>
    <row r="470" spans="2:7" ht="13.2" x14ac:dyDescent="0.25">
      <c r="B470" s="17"/>
      <c r="C470" s="17"/>
      <c r="D470" s="17"/>
      <c r="E470" s="17"/>
      <c r="F470" s="17"/>
      <c r="G470" s="17"/>
    </row>
    <row r="471" spans="2:7" ht="13.2" x14ac:dyDescent="0.25">
      <c r="B471" s="17"/>
      <c r="C471" s="17"/>
      <c r="D471" s="17"/>
      <c r="E471" s="17"/>
      <c r="F471" s="17"/>
      <c r="G471" s="17"/>
    </row>
    <row r="472" spans="2:7" ht="13.2" x14ac:dyDescent="0.25">
      <c r="B472" s="17"/>
      <c r="C472" s="17"/>
      <c r="D472" s="17"/>
      <c r="E472" s="17"/>
      <c r="F472" s="17"/>
      <c r="G472" s="17"/>
    </row>
    <row r="473" spans="2:7" ht="13.2" x14ac:dyDescent="0.25">
      <c r="B473" s="17"/>
      <c r="C473" s="17"/>
      <c r="D473" s="17"/>
      <c r="E473" s="17"/>
      <c r="F473" s="17"/>
      <c r="G473" s="17"/>
    </row>
    <row r="474" spans="2:7" ht="13.2" x14ac:dyDescent="0.25">
      <c r="B474" s="17"/>
      <c r="C474" s="17"/>
      <c r="D474" s="17"/>
      <c r="E474" s="17"/>
      <c r="F474" s="17"/>
      <c r="G474" s="17"/>
    </row>
    <row r="475" spans="2:7" ht="13.2" x14ac:dyDescent="0.25">
      <c r="B475" s="17"/>
      <c r="C475" s="17"/>
      <c r="D475" s="17"/>
      <c r="E475" s="17"/>
      <c r="F475" s="17"/>
      <c r="G475" s="17"/>
    </row>
    <row r="476" spans="2:7" ht="13.2" x14ac:dyDescent="0.25">
      <c r="B476" s="17"/>
      <c r="C476" s="17"/>
      <c r="D476" s="17"/>
      <c r="E476" s="17"/>
      <c r="F476" s="17"/>
      <c r="G476" s="17"/>
    </row>
    <row r="477" spans="2:7" ht="13.2" x14ac:dyDescent="0.25">
      <c r="B477" s="17"/>
      <c r="C477" s="17"/>
      <c r="D477" s="17"/>
      <c r="E477" s="17"/>
      <c r="F477" s="17"/>
      <c r="G477" s="17"/>
    </row>
    <row r="478" spans="2:7" ht="13.2" x14ac:dyDescent="0.25">
      <c r="B478" s="17"/>
      <c r="C478" s="17"/>
      <c r="D478" s="17"/>
      <c r="E478" s="17"/>
      <c r="F478" s="17"/>
      <c r="G478" s="17"/>
    </row>
    <row r="479" spans="2:7" ht="13.2" x14ac:dyDescent="0.25">
      <c r="B479" s="17"/>
      <c r="C479" s="17"/>
      <c r="D479" s="17"/>
      <c r="E479" s="17"/>
      <c r="F479" s="17"/>
      <c r="G479" s="17"/>
    </row>
    <row r="480" spans="2:7" ht="13.2" x14ac:dyDescent="0.25">
      <c r="B480" s="17"/>
      <c r="C480" s="17"/>
      <c r="D480" s="17"/>
      <c r="E480" s="17"/>
      <c r="F480" s="17"/>
      <c r="G480" s="17"/>
    </row>
    <row r="481" spans="2:7" ht="13.2" x14ac:dyDescent="0.25">
      <c r="B481" s="17"/>
      <c r="C481" s="17"/>
      <c r="D481" s="17"/>
      <c r="E481" s="17"/>
      <c r="F481" s="17"/>
      <c r="G481" s="17"/>
    </row>
    <row r="482" spans="2:7" ht="13.2" x14ac:dyDescent="0.25">
      <c r="B482" s="17"/>
      <c r="C482" s="17"/>
      <c r="D482" s="17"/>
      <c r="E482" s="17"/>
      <c r="F482" s="17"/>
      <c r="G482" s="17"/>
    </row>
    <row r="483" spans="2:7" ht="13.2" x14ac:dyDescent="0.25">
      <c r="B483" s="17"/>
      <c r="C483" s="17"/>
      <c r="D483" s="17"/>
      <c r="E483" s="17"/>
      <c r="F483" s="17"/>
      <c r="G483" s="17"/>
    </row>
    <row r="484" spans="2:7" ht="13.2" x14ac:dyDescent="0.25">
      <c r="B484" s="17"/>
      <c r="C484" s="17"/>
      <c r="D484" s="17"/>
      <c r="E484" s="17"/>
      <c r="F484" s="17"/>
      <c r="G484" s="17"/>
    </row>
    <row r="485" spans="2:7" ht="13.2" x14ac:dyDescent="0.25">
      <c r="B485" s="17"/>
      <c r="C485" s="17"/>
      <c r="D485" s="17"/>
      <c r="E485" s="17"/>
      <c r="F485" s="17"/>
      <c r="G485" s="17"/>
    </row>
    <row r="486" spans="2:7" ht="13.2" x14ac:dyDescent="0.25">
      <c r="B486" s="17"/>
      <c r="C486" s="17"/>
      <c r="D486" s="17"/>
      <c r="E486" s="17"/>
      <c r="F486" s="17"/>
      <c r="G486" s="17"/>
    </row>
    <row r="487" spans="2:7" ht="13.2" x14ac:dyDescent="0.25">
      <c r="B487" s="17"/>
      <c r="C487" s="17"/>
      <c r="D487" s="17"/>
      <c r="E487" s="17"/>
      <c r="F487" s="17"/>
      <c r="G487" s="17"/>
    </row>
    <row r="488" spans="2:7" ht="13.2" x14ac:dyDescent="0.25">
      <c r="B488" s="17"/>
      <c r="C488" s="17"/>
      <c r="D488" s="17"/>
      <c r="E488" s="17"/>
      <c r="F488" s="17"/>
      <c r="G488" s="17"/>
    </row>
    <row r="489" spans="2:7" ht="13.2" x14ac:dyDescent="0.25">
      <c r="B489" s="17"/>
      <c r="C489" s="17"/>
      <c r="D489" s="17"/>
      <c r="E489" s="17"/>
      <c r="F489" s="17"/>
      <c r="G489" s="17"/>
    </row>
    <row r="490" spans="2:7" ht="13.2" x14ac:dyDescent="0.25">
      <c r="B490" s="17"/>
      <c r="C490" s="17"/>
      <c r="D490" s="17"/>
      <c r="E490" s="17"/>
      <c r="F490" s="17"/>
      <c r="G490" s="17"/>
    </row>
    <row r="491" spans="2:7" ht="13.2" x14ac:dyDescent="0.25">
      <c r="B491" s="17"/>
      <c r="C491" s="17"/>
      <c r="D491" s="17"/>
      <c r="E491" s="17"/>
      <c r="F491" s="17"/>
      <c r="G491" s="17"/>
    </row>
    <row r="492" spans="2:7" ht="13.2" x14ac:dyDescent="0.25">
      <c r="B492" s="17"/>
      <c r="C492" s="17"/>
      <c r="D492" s="17"/>
      <c r="E492" s="17"/>
      <c r="F492" s="17"/>
      <c r="G492" s="17"/>
    </row>
    <row r="493" spans="2:7" ht="13.2" x14ac:dyDescent="0.25">
      <c r="B493" s="17"/>
      <c r="C493" s="17"/>
      <c r="D493" s="17"/>
      <c r="E493" s="17"/>
      <c r="F493" s="17"/>
      <c r="G493" s="17"/>
    </row>
    <row r="494" spans="2:7" ht="13.2" x14ac:dyDescent="0.25">
      <c r="B494" s="17"/>
      <c r="C494" s="17"/>
      <c r="D494" s="17"/>
      <c r="E494" s="17"/>
      <c r="F494" s="17"/>
      <c r="G494" s="17"/>
    </row>
    <row r="495" spans="2:7" ht="13.2" x14ac:dyDescent="0.25">
      <c r="B495" s="17"/>
      <c r="C495" s="17"/>
      <c r="D495" s="17"/>
      <c r="E495" s="17"/>
      <c r="F495" s="17"/>
      <c r="G495" s="17"/>
    </row>
    <row r="496" spans="2:7" ht="13.2" x14ac:dyDescent="0.25">
      <c r="B496" s="17"/>
      <c r="C496" s="17"/>
      <c r="D496" s="17"/>
      <c r="E496" s="17"/>
      <c r="F496" s="17"/>
      <c r="G496" s="17"/>
    </row>
    <row r="497" spans="2:7" ht="13.2" x14ac:dyDescent="0.25">
      <c r="B497" s="17"/>
      <c r="C497" s="17"/>
      <c r="D497" s="17"/>
      <c r="E497" s="17"/>
      <c r="F497" s="17"/>
      <c r="G497" s="17"/>
    </row>
    <row r="498" spans="2:7" ht="13.2" x14ac:dyDescent="0.25">
      <c r="B498" s="17"/>
      <c r="C498" s="17"/>
      <c r="D498" s="17"/>
      <c r="E498" s="17"/>
      <c r="F498" s="17"/>
      <c r="G498" s="17"/>
    </row>
    <row r="499" spans="2:7" ht="13.2" x14ac:dyDescent="0.25">
      <c r="B499" s="17"/>
      <c r="C499" s="17"/>
      <c r="D499" s="17"/>
      <c r="E499" s="17"/>
      <c r="F499" s="17"/>
      <c r="G499" s="17"/>
    </row>
    <row r="500" spans="2:7" ht="13.2" x14ac:dyDescent="0.25">
      <c r="B500" s="17"/>
      <c r="C500" s="17"/>
      <c r="D500" s="17"/>
      <c r="E500" s="17"/>
      <c r="F500" s="17"/>
      <c r="G500" s="17"/>
    </row>
    <row r="501" spans="2:7" ht="13.2" x14ac:dyDescent="0.25">
      <c r="B501" s="17"/>
      <c r="C501" s="17"/>
      <c r="D501" s="17"/>
      <c r="E501" s="17"/>
      <c r="F501" s="17"/>
      <c r="G501" s="17"/>
    </row>
    <row r="502" spans="2:7" ht="13.2" x14ac:dyDescent="0.25">
      <c r="B502" s="17"/>
      <c r="C502" s="17"/>
      <c r="D502" s="17"/>
      <c r="E502" s="17"/>
      <c r="F502" s="17"/>
      <c r="G502" s="17"/>
    </row>
    <row r="503" spans="2:7" ht="13.2" x14ac:dyDescent="0.25">
      <c r="B503" s="17"/>
      <c r="C503" s="17"/>
      <c r="D503" s="17"/>
      <c r="E503" s="17"/>
      <c r="F503" s="17"/>
      <c r="G503" s="17"/>
    </row>
    <row r="504" spans="2:7" ht="13.2" x14ac:dyDescent="0.25">
      <c r="B504" s="17"/>
      <c r="C504" s="17"/>
      <c r="D504" s="17"/>
      <c r="E504" s="17"/>
      <c r="F504" s="17"/>
      <c r="G504" s="17"/>
    </row>
    <row r="505" spans="2:7" ht="13.2" x14ac:dyDescent="0.25">
      <c r="B505" s="17"/>
      <c r="C505" s="17"/>
      <c r="D505" s="17"/>
      <c r="E505" s="17"/>
      <c r="F505" s="17"/>
      <c r="G505" s="17"/>
    </row>
    <row r="506" spans="2:7" ht="13.2" x14ac:dyDescent="0.25">
      <c r="B506" s="17"/>
      <c r="C506" s="17"/>
      <c r="D506" s="17"/>
      <c r="E506" s="17"/>
      <c r="F506" s="17"/>
      <c r="G506" s="17"/>
    </row>
    <row r="507" spans="2:7" ht="13.2" x14ac:dyDescent="0.25">
      <c r="B507" s="17"/>
      <c r="C507" s="17"/>
      <c r="D507" s="17"/>
      <c r="E507" s="17"/>
      <c r="F507" s="17"/>
      <c r="G507" s="17"/>
    </row>
    <row r="508" spans="2:7" ht="13.2" x14ac:dyDescent="0.25">
      <c r="B508" s="17"/>
      <c r="C508" s="17"/>
      <c r="D508" s="17"/>
      <c r="E508" s="17"/>
      <c r="F508" s="17"/>
      <c r="G508" s="17"/>
    </row>
    <row r="509" spans="2:7" ht="13.2" x14ac:dyDescent="0.25">
      <c r="B509" s="17"/>
      <c r="C509" s="17"/>
      <c r="D509" s="17"/>
      <c r="E509" s="17"/>
      <c r="F509" s="17"/>
      <c r="G509" s="17"/>
    </row>
    <row r="510" spans="2:7" ht="13.2" x14ac:dyDescent="0.25">
      <c r="B510" s="17"/>
      <c r="C510" s="17"/>
      <c r="D510" s="17"/>
      <c r="E510" s="17"/>
      <c r="F510" s="17"/>
      <c r="G510" s="17"/>
    </row>
    <row r="511" spans="2:7" ht="13.2" x14ac:dyDescent="0.25">
      <c r="B511" s="17"/>
      <c r="C511" s="17"/>
      <c r="D511" s="17"/>
      <c r="E511" s="17"/>
      <c r="F511" s="17"/>
      <c r="G511" s="17"/>
    </row>
    <row r="512" spans="2:7" ht="13.2" x14ac:dyDescent="0.25">
      <c r="B512" s="17"/>
      <c r="C512" s="17"/>
      <c r="D512" s="17"/>
      <c r="E512" s="17"/>
      <c r="F512" s="17"/>
      <c r="G512" s="17"/>
    </row>
    <row r="513" spans="2:7" ht="13.2" x14ac:dyDescent="0.25">
      <c r="B513" s="17"/>
      <c r="C513" s="17"/>
      <c r="D513" s="17"/>
      <c r="E513" s="17"/>
      <c r="F513" s="17"/>
      <c r="G513" s="17"/>
    </row>
    <row r="514" spans="2:7" ht="13.2" x14ac:dyDescent="0.25">
      <c r="B514" s="17"/>
      <c r="C514" s="17"/>
      <c r="D514" s="17"/>
      <c r="E514" s="17"/>
      <c r="F514" s="17"/>
      <c r="G514" s="17"/>
    </row>
    <row r="515" spans="2:7" ht="13.2" x14ac:dyDescent="0.25">
      <c r="B515" s="17"/>
      <c r="C515" s="17"/>
      <c r="D515" s="17"/>
      <c r="E515" s="17"/>
      <c r="F515" s="17"/>
      <c r="G515" s="17"/>
    </row>
    <row r="516" spans="2:7" ht="13.2" x14ac:dyDescent="0.25">
      <c r="B516" s="17"/>
      <c r="C516" s="17"/>
      <c r="D516" s="17"/>
      <c r="E516" s="17"/>
      <c r="F516" s="17"/>
      <c r="G516" s="17"/>
    </row>
    <row r="517" spans="2:7" ht="13.2" x14ac:dyDescent="0.25">
      <c r="B517" s="17"/>
      <c r="C517" s="17"/>
      <c r="D517" s="17"/>
      <c r="E517" s="17"/>
      <c r="F517" s="17"/>
      <c r="G517" s="17"/>
    </row>
    <row r="518" spans="2:7" ht="13.2" x14ac:dyDescent="0.25">
      <c r="B518" s="17"/>
      <c r="C518" s="17"/>
      <c r="D518" s="17"/>
      <c r="E518" s="17"/>
      <c r="F518" s="17"/>
      <c r="G518" s="17"/>
    </row>
    <row r="519" spans="2:7" ht="13.2" x14ac:dyDescent="0.25">
      <c r="B519" s="17"/>
      <c r="C519" s="17"/>
      <c r="D519" s="17"/>
      <c r="E519" s="17"/>
      <c r="F519" s="17"/>
      <c r="G519" s="17"/>
    </row>
    <row r="520" spans="2:7" ht="13.2" x14ac:dyDescent="0.25">
      <c r="B520" s="17"/>
      <c r="C520" s="17"/>
      <c r="D520" s="17"/>
      <c r="E520" s="17"/>
      <c r="F520" s="17"/>
      <c r="G520" s="17"/>
    </row>
    <row r="521" spans="2:7" ht="13.2" x14ac:dyDescent="0.25">
      <c r="B521" s="17"/>
      <c r="C521" s="17"/>
      <c r="D521" s="17"/>
      <c r="E521" s="17"/>
      <c r="F521" s="17"/>
      <c r="G521" s="17"/>
    </row>
    <row r="522" spans="2:7" ht="13.2" x14ac:dyDescent="0.25">
      <c r="B522" s="17"/>
      <c r="C522" s="17"/>
      <c r="D522" s="17"/>
      <c r="E522" s="17"/>
      <c r="F522" s="17"/>
      <c r="G522" s="17"/>
    </row>
    <row r="523" spans="2:7" ht="13.2" x14ac:dyDescent="0.25">
      <c r="B523" s="17"/>
      <c r="C523" s="17"/>
      <c r="D523" s="17"/>
      <c r="E523" s="17"/>
      <c r="F523" s="17"/>
      <c r="G523" s="17"/>
    </row>
    <row r="524" spans="2:7" ht="13.2" x14ac:dyDescent="0.25">
      <c r="B524" s="17"/>
      <c r="C524" s="17"/>
      <c r="D524" s="17"/>
      <c r="E524" s="17"/>
      <c r="F524" s="17"/>
      <c r="G524" s="17"/>
    </row>
    <row r="525" spans="2:7" ht="13.2" x14ac:dyDescent="0.25">
      <c r="B525" s="17"/>
      <c r="C525" s="17"/>
      <c r="D525" s="17"/>
      <c r="E525" s="17"/>
      <c r="F525" s="17"/>
      <c r="G525" s="17"/>
    </row>
    <row r="526" spans="2:7" ht="13.2" x14ac:dyDescent="0.25">
      <c r="B526" s="17"/>
      <c r="C526" s="17"/>
      <c r="D526" s="17"/>
      <c r="E526" s="17"/>
      <c r="F526" s="17"/>
      <c r="G526" s="17"/>
    </row>
    <row r="527" spans="2:7" ht="13.2" x14ac:dyDescent="0.25">
      <c r="B527" s="17"/>
      <c r="C527" s="17"/>
      <c r="D527" s="17"/>
      <c r="E527" s="17"/>
      <c r="F527" s="17"/>
      <c r="G527" s="17"/>
    </row>
    <row r="528" spans="2:7" ht="13.2" x14ac:dyDescent="0.25">
      <c r="B528" s="17"/>
      <c r="C528" s="17"/>
      <c r="D528" s="17"/>
      <c r="E528" s="17"/>
      <c r="F528" s="17"/>
      <c r="G528" s="17"/>
    </row>
    <row r="529" spans="2:7" ht="13.2" x14ac:dyDescent="0.25">
      <c r="B529" s="17"/>
      <c r="C529" s="17"/>
      <c r="D529" s="17"/>
      <c r="E529" s="17"/>
      <c r="F529" s="17"/>
      <c r="G529" s="17"/>
    </row>
    <row r="530" spans="2:7" ht="13.2" x14ac:dyDescent="0.25">
      <c r="B530" s="17"/>
      <c r="C530" s="17"/>
      <c r="D530" s="17"/>
      <c r="E530" s="17"/>
      <c r="F530" s="17"/>
      <c r="G530" s="17"/>
    </row>
    <row r="531" spans="2:7" ht="13.2" x14ac:dyDescent="0.25">
      <c r="B531" s="17"/>
      <c r="C531" s="17"/>
      <c r="D531" s="17"/>
      <c r="E531" s="17"/>
      <c r="F531" s="17"/>
      <c r="G531" s="17"/>
    </row>
    <row r="532" spans="2:7" ht="13.2" x14ac:dyDescent="0.25">
      <c r="B532" s="17"/>
      <c r="C532" s="17"/>
      <c r="D532" s="17"/>
      <c r="E532" s="17"/>
      <c r="F532" s="17"/>
      <c r="G532" s="17"/>
    </row>
    <row r="533" spans="2:7" ht="13.2" x14ac:dyDescent="0.25">
      <c r="B533" s="17"/>
      <c r="C533" s="17"/>
      <c r="D533" s="17"/>
      <c r="E533" s="17"/>
      <c r="F533" s="17"/>
      <c r="G533" s="17"/>
    </row>
    <row r="534" spans="2:7" ht="13.2" x14ac:dyDescent="0.25">
      <c r="B534" s="17"/>
      <c r="C534" s="17"/>
      <c r="D534" s="17"/>
      <c r="E534" s="17"/>
      <c r="F534" s="17"/>
      <c r="G534" s="17"/>
    </row>
    <row r="535" spans="2:7" ht="13.2" x14ac:dyDescent="0.25">
      <c r="B535" s="17"/>
      <c r="C535" s="17"/>
      <c r="D535" s="17"/>
      <c r="E535" s="17"/>
      <c r="F535" s="17"/>
      <c r="G535" s="17"/>
    </row>
    <row r="536" spans="2:7" ht="13.2" x14ac:dyDescent="0.25">
      <c r="B536" s="17"/>
      <c r="C536" s="17"/>
      <c r="D536" s="17"/>
      <c r="E536" s="17"/>
      <c r="F536" s="17"/>
      <c r="G536" s="17"/>
    </row>
    <row r="537" spans="2:7" ht="13.2" x14ac:dyDescent="0.25">
      <c r="B537" s="17"/>
      <c r="C537" s="17"/>
      <c r="D537" s="17"/>
      <c r="E537" s="17"/>
      <c r="F537" s="17"/>
      <c r="G537" s="17"/>
    </row>
    <row r="538" spans="2:7" ht="13.2" x14ac:dyDescent="0.25">
      <c r="B538" s="17"/>
      <c r="C538" s="17"/>
      <c r="D538" s="17"/>
      <c r="E538" s="17"/>
      <c r="F538" s="17"/>
      <c r="G538" s="17"/>
    </row>
    <row r="539" spans="2:7" ht="13.2" x14ac:dyDescent="0.25">
      <c r="B539" s="17"/>
      <c r="C539" s="17"/>
      <c r="D539" s="17"/>
      <c r="E539" s="17"/>
      <c r="F539" s="17"/>
      <c r="G539" s="17"/>
    </row>
    <row r="540" spans="2:7" ht="13.2" x14ac:dyDescent="0.25">
      <c r="B540" s="17"/>
      <c r="C540" s="17"/>
      <c r="D540" s="17"/>
      <c r="E540" s="17"/>
      <c r="F540" s="17"/>
      <c r="G540" s="17"/>
    </row>
    <row r="541" spans="2:7" ht="13.2" x14ac:dyDescent="0.25">
      <c r="B541" s="17"/>
      <c r="C541" s="17"/>
      <c r="D541" s="17"/>
      <c r="E541" s="17"/>
      <c r="F541" s="17"/>
      <c r="G541" s="17"/>
    </row>
    <row r="542" spans="2:7" ht="13.2" x14ac:dyDescent="0.25">
      <c r="B542" s="17"/>
      <c r="C542" s="17"/>
      <c r="D542" s="17"/>
      <c r="E542" s="17"/>
      <c r="F542" s="17"/>
      <c r="G542" s="17"/>
    </row>
    <row r="543" spans="2:7" ht="13.2" x14ac:dyDescent="0.25">
      <c r="B543" s="17"/>
      <c r="C543" s="17"/>
      <c r="D543" s="17"/>
      <c r="E543" s="17"/>
      <c r="F543" s="17"/>
      <c r="G543" s="17"/>
    </row>
    <row r="544" spans="2:7" ht="13.2" x14ac:dyDescent="0.25">
      <c r="B544" s="17"/>
      <c r="C544" s="17"/>
      <c r="D544" s="17"/>
      <c r="E544" s="17"/>
      <c r="F544" s="17"/>
      <c r="G544" s="17"/>
    </row>
    <row r="545" spans="2:7" ht="13.2" x14ac:dyDescent="0.25">
      <c r="B545" s="17"/>
      <c r="C545" s="17"/>
      <c r="D545" s="17"/>
      <c r="E545" s="17"/>
      <c r="F545" s="17"/>
      <c r="G545" s="17"/>
    </row>
    <row r="546" spans="2:7" ht="13.2" x14ac:dyDescent="0.25">
      <c r="B546" s="17"/>
      <c r="C546" s="17"/>
      <c r="D546" s="17"/>
      <c r="E546" s="17"/>
      <c r="F546" s="17"/>
      <c r="G546" s="17"/>
    </row>
    <row r="547" spans="2:7" ht="13.2" x14ac:dyDescent="0.25">
      <c r="B547" s="17"/>
      <c r="C547" s="17"/>
      <c r="D547" s="17"/>
      <c r="E547" s="17"/>
      <c r="F547" s="17"/>
      <c r="G547" s="17"/>
    </row>
    <row r="548" spans="2:7" ht="13.2" x14ac:dyDescent="0.25">
      <c r="B548" s="17"/>
      <c r="C548" s="17"/>
      <c r="D548" s="17"/>
      <c r="E548" s="17"/>
      <c r="F548" s="17"/>
      <c r="G548" s="17"/>
    </row>
    <row r="549" spans="2:7" ht="13.2" x14ac:dyDescent="0.25">
      <c r="B549" s="17"/>
      <c r="C549" s="17"/>
      <c r="D549" s="17"/>
      <c r="E549" s="17"/>
      <c r="F549" s="17"/>
      <c r="G549" s="17"/>
    </row>
    <row r="550" spans="2:7" ht="13.2" x14ac:dyDescent="0.25">
      <c r="B550" s="17"/>
      <c r="C550" s="17"/>
      <c r="D550" s="17"/>
      <c r="E550" s="17"/>
      <c r="F550" s="17"/>
      <c r="G550" s="17"/>
    </row>
    <row r="551" spans="2:7" ht="13.2" x14ac:dyDescent="0.25">
      <c r="B551" s="17"/>
      <c r="C551" s="17"/>
      <c r="D551" s="17"/>
      <c r="E551" s="17"/>
      <c r="F551" s="17"/>
      <c r="G551" s="17"/>
    </row>
    <row r="552" spans="2:7" ht="13.2" x14ac:dyDescent="0.25">
      <c r="B552" s="17"/>
      <c r="C552" s="17"/>
      <c r="D552" s="17"/>
      <c r="E552" s="17"/>
      <c r="F552" s="17"/>
      <c r="G552" s="17"/>
    </row>
    <row r="553" spans="2:7" ht="13.2" x14ac:dyDescent="0.25">
      <c r="B553" s="17"/>
      <c r="C553" s="17"/>
      <c r="D553" s="17"/>
      <c r="E553" s="17"/>
      <c r="F553" s="17"/>
      <c r="G553" s="17"/>
    </row>
    <row r="554" spans="2:7" ht="13.2" x14ac:dyDescent="0.25">
      <c r="B554" s="17"/>
      <c r="C554" s="17"/>
      <c r="D554" s="17"/>
      <c r="E554" s="17"/>
      <c r="F554" s="17"/>
      <c r="G554" s="17"/>
    </row>
    <row r="555" spans="2:7" ht="13.2" x14ac:dyDescent="0.25">
      <c r="B555" s="17"/>
      <c r="C555" s="17"/>
      <c r="D555" s="17"/>
      <c r="E555" s="17"/>
      <c r="F555" s="17"/>
      <c r="G555" s="17"/>
    </row>
    <row r="556" spans="2:7" ht="13.2" x14ac:dyDescent="0.25">
      <c r="B556" s="17"/>
      <c r="C556" s="17"/>
      <c r="D556" s="17"/>
      <c r="E556" s="17"/>
      <c r="F556" s="17"/>
      <c r="G556" s="17"/>
    </row>
    <row r="557" spans="2:7" ht="13.2" x14ac:dyDescent="0.25">
      <c r="B557" s="17"/>
      <c r="C557" s="17"/>
      <c r="D557" s="17"/>
      <c r="E557" s="17"/>
      <c r="F557" s="17"/>
      <c r="G557" s="17"/>
    </row>
    <row r="558" spans="2:7" ht="13.2" x14ac:dyDescent="0.25">
      <c r="B558" s="17"/>
      <c r="C558" s="17"/>
      <c r="D558" s="17"/>
      <c r="E558" s="17"/>
      <c r="F558" s="17"/>
      <c r="G558" s="17"/>
    </row>
    <row r="559" spans="2:7" ht="13.2" x14ac:dyDescent="0.25">
      <c r="B559" s="17"/>
      <c r="C559" s="17"/>
      <c r="D559" s="17"/>
      <c r="E559" s="17"/>
      <c r="F559" s="17"/>
      <c r="G559" s="17"/>
    </row>
    <row r="560" spans="2:7" ht="13.2" x14ac:dyDescent="0.25">
      <c r="B560" s="17"/>
      <c r="C560" s="17"/>
      <c r="D560" s="17"/>
      <c r="E560" s="17"/>
      <c r="F560" s="17"/>
      <c r="G560" s="17"/>
    </row>
    <row r="561" spans="2:7" ht="13.2" x14ac:dyDescent="0.25">
      <c r="B561" s="17"/>
      <c r="C561" s="17"/>
      <c r="D561" s="17"/>
      <c r="E561" s="17"/>
      <c r="F561" s="17"/>
      <c r="G561" s="17"/>
    </row>
    <row r="562" spans="2:7" ht="13.2" x14ac:dyDescent="0.25">
      <c r="B562" s="17"/>
      <c r="C562" s="17"/>
      <c r="D562" s="17"/>
      <c r="E562" s="17"/>
      <c r="F562" s="17"/>
      <c r="G562" s="17"/>
    </row>
    <row r="563" spans="2:7" ht="13.2" x14ac:dyDescent="0.25">
      <c r="B563" s="17"/>
      <c r="C563" s="17"/>
      <c r="D563" s="17"/>
      <c r="E563" s="17"/>
      <c r="F563" s="17"/>
      <c r="G563" s="17"/>
    </row>
    <row r="564" spans="2:7" ht="13.2" x14ac:dyDescent="0.25">
      <c r="B564" s="17"/>
      <c r="C564" s="17"/>
      <c r="D564" s="17"/>
      <c r="E564" s="17"/>
      <c r="F564" s="17"/>
      <c r="G564" s="17"/>
    </row>
    <row r="565" spans="2:7" ht="13.2" x14ac:dyDescent="0.25">
      <c r="B565" s="17"/>
      <c r="C565" s="17"/>
      <c r="D565" s="17"/>
      <c r="E565" s="17"/>
      <c r="F565" s="17"/>
      <c r="G565" s="17"/>
    </row>
    <row r="566" spans="2:7" ht="13.2" x14ac:dyDescent="0.25">
      <c r="B566" s="17"/>
      <c r="C566" s="17"/>
      <c r="D566" s="17"/>
      <c r="E566" s="17"/>
      <c r="F566" s="17"/>
      <c r="G566" s="17"/>
    </row>
    <row r="567" spans="2:7" ht="13.2" x14ac:dyDescent="0.25">
      <c r="B567" s="17"/>
      <c r="C567" s="17"/>
      <c r="D567" s="17"/>
      <c r="E567" s="17"/>
      <c r="F567" s="17"/>
      <c r="G567" s="17"/>
    </row>
    <row r="568" spans="2:7" ht="13.2" x14ac:dyDescent="0.25">
      <c r="B568" s="17"/>
      <c r="C568" s="17"/>
      <c r="D568" s="17"/>
      <c r="E568" s="17"/>
      <c r="F568" s="17"/>
      <c r="G568" s="17"/>
    </row>
    <row r="569" spans="2:7" ht="13.2" x14ac:dyDescent="0.25">
      <c r="B569" s="17"/>
      <c r="C569" s="17"/>
      <c r="D569" s="17"/>
      <c r="E569" s="17"/>
      <c r="F569" s="17"/>
      <c r="G569" s="17"/>
    </row>
    <row r="570" spans="2:7" ht="13.2" x14ac:dyDescent="0.25">
      <c r="B570" s="17"/>
      <c r="C570" s="17"/>
      <c r="D570" s="17"/>
      <c r="E570" s="17"/>
      <c r="F570" s="17"/>
      <c r="G570" s="17"/>
    </row>
    <row r="571" spans="2:7" ht="13.2" x14ac:dyDescent="0.25">
      <c r="B571" s="17"/>
      <c r="C571" s="17"/>
      <c r="D571" s="17"/>
      <c r="E571" s="17"/>
      <c r="F571" s="17"/>
      <c r="G571" s="17"/>
    </row>
    <row r="572" spans="2:7" ht="13.2" x14ac:dyDescent="0.25">
      <c r="B572" s="17"/>
      <c r="C572" s="17"/>
      <c r="D572" s="17"/>
      <c r="E572" s="17"/>
      <c r="F572" s="17"/>
      <c r="G572" s="17"/>
    </row>
    <row r="573" spans="2:7" ht="13.2" x14ac:dyDescent="0.25">
      <c r="B573" s="17"/>
      <c r="C573" s="17"/>
      <c r="D573" s="17"/>
      <c r="E573" s="17"/>
      <c r="F573" s="17"/>
      <c r="G573" s="17"/>
    </row>
    <row r="574" spans="2:7" ht="13.2" x14ac:dyDescent="0.25">
      <c r="B574" s="17"/>
      <c r="C574" s="17"/>
      <c r="D574" s="17"/>
      <c r="E574" s="17"/>
      <c r="F574" s="17"/>
      <c r="G574" s="17"/>
    </row>
    <row r="575" spans="2:7" ht="13.2" x14ac:dyDescent="0.25">
      <c r="B575" s="17"/>
      <c r="C575" s="17"/>
      <c r="D575" s="17"/>
      <c r="E575" s="17"/>
      <c r="F575" s="17"/>
      <c r="G575" s="17"/>
    </row>
    <row r="576" spans="2:7" ht="13.2" x14ac:dyDescent="0.25">
      <c r="B576" s="17"/>
      <c r="C576" s="17"/>
      <c r="D576" s="17"/>
      <c r="E576" s="17"/>
      <c r="F576" s="17"/>
      <c r="G576" s="17"/>
    </row>
    <row r="577" spans="2:7" ht="13.2" x14ac:dyDescent="0.25">
      <c r="B577" s="17"/>
      <c r="C577" s="17"/>
      <c r="D577" s="17"/>
      <c r="E577" s="17"/>
      <c r="F577" s="17"/>
      <c r="G577" s="17"/>
    </row>
    <row r="578" spans="2:7" ht="13.2" x14ac:dyDescent="0.25">
      <c r="B578" s="17"/>
      <c r="C578" s="17"/>
      <c r="D578" s="17"/>
      <c r="E578" s="17"/>
      <c r="F578" s="17"/>
      <c r="G578" s="17"/>
    </row>
    <row r="579" spans="2:7" ht="13.2" x14ac:dyDescent="0.25">
      <c r="B579" s="17"/>
      <c r="C579" s="17"/>
      <c r="D579" s="17"/>
      <c r="E579" s="17"/>
      <c r="F579" s="17"/>
      <c r="G579" s="17"/>
    </row>
    <row r="580" spans="2:7" ht="13.2" x14ac:dyDescent="0.25">
      <c r="B580" s="17"/>
      <c r="C580" s="17"/>
      <c r="D580" s="17"/>
      <c r="E580" s="17"/>
      <c r="F580" s="17"/>
      <c r="G580" s="17"/>
    </row>
    <row r="581" spans="2:7" ht="13.2" x14ac:dyDescent="0.25">
      <c r="B581" s="17"/>
      <c r="C581" s="17"/>
      <c r="D581" s="17"/>
      <c r="E581" s="17"/>
      <c r="F581" s="17"/>
      <c r="G581" s="17"/>
    </row>
    <row r="582" spans="2:7" ht="13.2" x14ac:dyDescent="0.25">
      <c r="B582" s="17"/>
      <c r="C582" s="17"/>
      <c r="D582" s="17"/>
      <c r="E582" s="17"/>
      <c r="F582" s="17"/>
      <c r="G582" s="17"/>
    </row>
    <row r="583" spans="2:7" ht="13.2" x14ac:dyDescent="0.25">
      <c r="B583" s="17"/>
      <c r="C583" s="17"/>
      <c r="D583" s="17"/>
      <c r="E583" s="17"/>
      <c r="F583" s="17"/>
      <c r="G583" s="17"/>
    </row>
    <row r="584" spans="2:7" ht="13.2" x14ac:dyDescent="0.25">
      <c r="B584" s="17"/>
      <c r="C584" s="17"/>
      <c r="D584" s="17"/>
      <c r="E584" s="17"/>
      <c r="F584" s="17"/>
      <c r="G584" s="17"/>
    </row>
    <row r="585" spans="2:7" ht="13.2" x14ac:dyDescent="0.25">
      <c r="B585" s="17"/>
      <c r="C585" s="17"/>
      <c r="D585" s="17"/>
      <c r="E585" s="17"/>
      <c r="F585" s="17"/>
      <c r="G585" s="17"/>
    </row>
    <row r="586" spans="2:7" ht="13.2" x14ac:dyDescent="0.25">
      <c r="B586" s="17"/>
      <c r="C586" s="17"/>
      <c r="D586" s="17"/>
      <c r="E586" s="17"/>
      <c r="F586" s="17"/>
      <c r="G586" s="17"/>
    </row>
    <row r="587" spans="2:7" ht="13.2" x14ac:dyDescent="0.25">
      <c r="B587" s="17"/>
      <c r="C587" s="17"/>
      <c r="D587" s="17"/>
      <c r="E587" s="17"/>
      <c r="F587" s="17"/>
      <c r="G587" s="17"/>
    </row>
    <row r="588" spans="2:7" ht="13.2" x14ac:dyDescent="0.25">
      <c r="B588" s="17"/>
      <c r="C588" s="17"/>
      <c r="D588" s="17"/>
      <c r="E588" s="17"/>
      <c r="F588" s="17"/>
      <c r="G588" s="17"/>
    </row>
    <row r="589" spans="2:7" ht="13.2" x14ac:dyDescent="0.25">
      <c r="B589" s="17"/>
      <c r="C589" s="17"/>
      <c r="D589" s="17"/>
      <c r="E589" s="17"/>
      <c r="F589" s="17"/>
      <c r="G589" s="17"/>
    </row>
    <row r="590" spans="2:7" ht="13.2" x14ac:dyDescent="0.25">
      <c r="B590" s="17"/>
      <c r="C590" s="17"/>
      <c r="D590" s="17"/>
      <c r="E590" s="17"/>
      <c r="F590" s="17"/>
      <c r="G590" s="17"/>
    </row>
    <row r="591" spans="2:7" ht="13.2" x14ac:dyDescent="0.25">
      <c r="B591" s="17"/>
      <c r="C591" s="17"/>
      <c r="D591" s="17"/>
      <c r="E591" s="17"/>
      <c r="F591" s="17"/>
      <c r="G591" s="17"/>
    </row>
    <row r="592" spans="2:7" ht="13.2" x14ac:dyDescent="0.25">
      <c r="B592" s="17"/>
      <c r="C592" s="17"/>
      <c r="D592" s="17"/>
      <c r="E592" s="17"/>
      <c r="F592" s="17"/>
      <c r="G592" s="17"/>
    </row>
    <row r="593" spans="2:7" ht="13.2" x14ac:dyDescent="0.25">
      <c r="B593" s="17"/>
      <c r="C593" s="17"/>
      <c r="D593" s="17"/>
      <c r="E593" s="17"/>
      <c r="F593" s="17"/>
      <c r="G593" s="17"/>
    </row>
    <row r="594" spans="2:7" ht="13.2" x14ac:dyDescent="0.25">
      <c r="B594" s="17"/>
      <c r="C594" s="17"/>
      <c r="D594" s="17"/>
      <c r="E594" s="17"/>
      <c r="F594" s="17"/>
      <c r="G594" s="17"/>
    </row>
    <row r="595" spans="2:7" ht="13.2" x14ac:dyDescent="0.25">
      <c r="B595" s="17"/>
      <c r="C595" s="17"/>
      <c r="D595" s="17"/>
      <c r="E595" s="17"/>
      <c r="F595" s="17"/>
      <c r="G595" s="17"/>
    </row>
    <row r="596" spans="2:7" ht="13.2" x14ac:dyDescent="0.25">
      <c r="B596" s="17"/>
      <c r="C596" s="17"/>
      <c r="D596" s="17"/>
      <c r="E596" s="17"/>
      <c r="F596" s="17"/>
      <c r="G596" s="17"/>
    </row>
    <row r="597" spans="2:7" ht="13.2" x14ac:dyDescent="0.25">
      <c r="B597" s="17"/>
      <c r="C597" s="17"/>
      <c r="D597" s="17"/>
      <c r="E597" s="17"/>
      <c r="F597" s="17"/>
      <c r="G597" s="17"/>
    </row>
    <row r="598" spans="2:7" ht="13.2" x14ac:dyDescent="0.25">
      <c r="B598" s="17"/>
      <c r="C598" s="17"/>
      <c r="D598" s="17"/>
      <c r="E598" s="17"/>
      <c r="F598" s="17"/>
      <c r="G598" s="17"/>
    </row>
    <row r="599" spans="2:7" ht="13.2" x14ac:dyDescent="0.25">
      <c r="B599" s="17"/>
      <c r="C599" s="17"/>
      <c r="D599" s="17"/>
      <c r="E599" s="17"/>
      <c r="F599" s="17"/>
      <c r="G599" s="17"/>
    </row>
    <row r="600" spans="2:7" ht="13.2" x14ac:dyDescent="0.25">
      <c r="B600" s="17"/>
      <c r="C600" s="17"/>
      <c r="D600" s="17"/>
      <c r="E600" s="17"/>
      <c r="F600" s="17"/>
      <c r="G600" s="17"/>
    </row>
    <row r="601" spans="2:7" ht="13.2" x14ac:dyDescent="0.25">
      <c r="B601" s="17"/>
      <c r="C601" s="17"/>
      <c r="D601" s="17"/>
      <c r="E601" s="17"/>
      <c r="F601" s="17"/>
      <c r="G601" s="17"/>
    </row>
    <row r="602" spans="2:7" ht="13.2" x14ac:dyDescent="0.25">
      <c r="B602" s="17"/>
      <c r="C602" s="17"/>
      <c r="D602" s="17"/>
      <c r="E602" s="17"/>
      <c r="F602" s="17"/>
      <c r="G602" s="17"/>
    </row>
    <row r="603" spans="2:7" ht="13.2" x14ac:dyDescent="0.25">
      <c r="B603" s="17"/>
      <c r="C603" s="17"/>
      <c r="D603" s="17"/>
      <c r="E603" s="17"/>
      <c r="F603" s="17"/>
      <c r="G603" s="17"/>
    </row>
    <row r="604" spans="2:7" ht="13.2" x14ac:dyDescent="0.25">
      <c r="B604" s="17"/>
      <c r="C604" s="17"/>
      <c r="D604" s="17"/>
      <c r="E604" s="17"/>
      <c r="F604" s="17"/>
      <c r="G604" s="17"/>
    </row>
    <row r="605" spans="2:7" ht="13.2" x14ac:dyDescent="0.25">
      <c r="B605" s="17"/>
      <c r="C605" s="17"/>
      <c r="D605" s="17"/>
      <c r="E605" s="17"/>
      <c r="F605" s="17"/>
      <c r="G605" s="17"/>
    </row>
    <row r="606" spans="2:7" ht="13.2" x14ac:dyDescent="0.25">
      <c r="B606" s="17"/>
      <c r="C606" s="17"/>
      <c r="D606" s="17"/>
      <c r="E606" s="17"/>
      <c r="F606" s="17"/>
      <c r="G606" s="17"/>
    </row>
    <row r="607" spans="2:7" ht="13.2" x14ac:dyDescent="0.25">
      <c r="B607" s="17"/>
      <c r="C607" s="17"/>
      <c r="D607" s="17"/>
      <c r="E607" s="17"/>
      <c r="F607" s="17"/>
      <c r="G607" s="17"/>
    </row>
    <row r="608" spans="2:7" ht="13.2" x14ac:dyDescent="0.25">
      <c r="B608" s="17"/>
      <c r="C608" s="17"/>
      <c r="D608" s="17"/>
      <c r="E608" s="17"/>
      <c r="F608" s="17"/>
      <c r="G608" s="17"/>
    </row>
    <row r="609" spans="2:7" ht="13.2" x14ac:dyDescent="0.25">
      <c r="B609" s="17"/>
      <c r="C609" s="17"/>
      <c r="D609" s="17"/>
      <c r="E609" s="17"/>
      <c r="F609" s="17"/>
      <c r="G609" s="17"/>
    </row>
    <row r="610" spans="2:7" ht="13.2" x14ac:dyDescent="0.25">
      <c r="B610" s="17"/>
      <c r="C610" s="17"/>
      <c r="D610" s="17"/>
      <c r="E610" s="17"/>
      <c r="F610" s="17"/>
      <c r="G610" s="17"/>
    </row>
    <row r="611" spans="2:7" ht="13.2" x14ac:dyDescent="0.25">
      <c r="B611" s="17"/>
      <c r="C611" s="17"/>
      <c r="D611" s="17"/>
      <c r="E611" s="17"/>
      <c r="F611" s="17"/>
      <c r="G611" s="17"/>
    </row>
    <row r="612" spans="2:7" ht="13.2" x14ac:dyDescent="0.25">
      <c r="B612" s="17"/>
      <c r="C612" s="17"/>
      <c r="D612" s="17"/>
      <c r="E612" s="17"/>
      <c r="F612" s="17"/>
      <c r="G612" s="17"/>
    </row>
    <row r="613" spans="2:7" ht="13.2" x14ac:dyDescent="0.25">
      <c r="B613" s="17"/>
      <c r="C613" s="17"/>
      <c r="D613" s="17"/>
      <c r="E613" s="17"/>
      <c r="F613" s="17"/>
      <c r="G613" s="17"/>
    </row>
    <row r="614" spans="2:7" ht="13.2" x14ac:dyDescent="0.25">
      <c r="B614" s="17"/>
      <c r="C614" s="17"/>
      <c r="D614" s="17"/>
      <c r="E614" s="17"/>
      <c r="F614" s="17"/>
      <c r="G614" s="17"/>
    </row>
    <row r="615" spans="2:7" ht="13.2" x14ac:dyDescent="0.25">
      <c r="B615" s="17"/>
      <c r="C615" s="17"/>
      <c r="D615" s="17"/>
      <c r="E615" s="17"/>
      <c r="F615" s="17"/>
      <c r="G615" s="17"/>
    </row>
    <row r="616" spans="2:7" ht="13.2" x14ac:dyDescent="0.25">
      <c r="B616" s="17"/>
      <c r="C616" s="17"/>
      <c r="D616" s="17"/>
      <c r="E616" s="17"/>
      <c r="F616" s="17"/>
      <c r="G616" s="17"/>
    </row>
    <row r="617" spans="2:7" ht="13.2" x14ac:dyDescent="0.25">
      <c r="B617" s="17"/>
      <c r="C617" s="17"/>
      <c r="D617" s="17"/>
      <c r="E617" s="17"/>
      <c r="F617" s="17"/>
      <c r="G617" s="17"/>
    </row>
    <row r="618" spans="2:7" ht="13.2" x14ac:dyDescent="0.25">
      <c r="B618" s="17"/>
      <c r="C618" s="17"/>
      <c r="D618" s="17"/>
      <c r="E618" s="17"/>
      <c r="F618" s="17"/>
      <c r="G618" s="17"/>
    </row>
    <row r="619" spans="2:7" ht="13.2" x14ac:dyDescent="0.25">
      <c r="B619" s="17"/>
      <c r="C619" s="17"/>
      <c r="D619" s="17"/>
      <c r="E619" s="17"/>
      <c r="F619" s="17"/>
      <c r="G619" s="17"/>
    </row>
    <row r="620" spans="2:7" ht="13.2" x14ac:dyDescent="0.25">
      <c r="B620" s="17"/>
      <c r="C620" s="17"/>
      <c r="D620" s="17"/>
      <c r="E620" s="17"/>
      <c r="F620" s="17"/>
      <c r="G620" s="17"/>
    </row>
    <row r="621" spans="2:7" ht="13.2" x14ac:dyDescent="0.25">
      <c r="B621" s="17"/>
      <c r="C621" s="17"/>
      <c r="D621" s="17"/>
      <c r="E621" s="17"/>
      <c r="F621" s="17"/>
      <c r="G621" s="17"/>
    </row>
    <row r="622" spans="2:7" ht="13.2" x14ac:dyDescent="0.25">
      <c r="B622" s="17"/>
      <c r="C622" s="17"/>
      <c r="D622" s="17"/>
      <c r="E622" s="17"/>
      <c r="F622" s="17"/>
      <c r="G622" s="17"/>
    </row>
    <row r="623" spans="2:7" ht="13.2" x14ac:dyDescent="0.25">
      <c r="B623" s="17"/>
      <c r="C623" s="17"/>
      <c r="D623" s="17"/>
      <c r="E623" s="17"/>
      <c r="F623" s="17"/>
      <c r="G623" s="17"/>
    </row>
    <row r="624" spans="2:7" ht="13.2" x14ac:dyDescent="0.25">
      <c r="B624" s="17"/>
      <c r="C624" s="17"/>
      <c r="D624" s="17"/>
      <c r="E624" s="17"/>
      <c r="F624" s="17"/>
      <c r="G624" s="17"/>
    </row>
    <row r="625" spans="2:7" ht="13.2" x14ac:dyDescent="0.25">
      <c r="B625" s="17"/>
      <c r="C625" s="17"/>
      <c r="D625" s="17"/>
      <c r="E625" s="17"/>
      <c r="F625" s="17"/>
      <c r="G625" s="17"/>
    </row>
    <row r="626" spans="2:7" ht="13.2" x14ac:dyDescent="0.25">
      <c r="B626" s="17"/>
      <c r="C626" s="17"/>
      <c r="D626" s="17"/>
      <c r="E626" s="17"/>
      <c r="F626" s="17"/>
      <c r="G626" s="17"/>
    </row>
    <row r="627" spans="2:7" ht="13.2" x14ac:dyDescent="0.25">
      <c r="B627" s="17"/>
      <c r="C627" s="17"/>
      <c r="D627" s="17"/>
      <c r="E627" s="17"/>
      <c r="F627" s="17"/>
      <c r="G627" s="17"/>
    </row>
    <row r="628" spans="2:7" ht="13.2" x14ac:dyDescent="0.25">
      <c r="B628" s="17"/>
      <c r="C628" s="17"/>
      <c r="D628" s="17"/>
      <c r="E628" s="17"/>
      <c r="F628" s="17"/>
      <c r="G628" s="17"/>
    </row>
    <row r="629" spans="2:7" ht="13.2" x14ac:dyDescent="0.25">
      <c r="B629" s="17"/>
      <c r="C629" s="17"/>
      <c r="D629" s="17"/>
      <c r="E629" s="17"/>
      <c r="F629" s="17"/>
      <c r="G629" s="17"/>
    </row>
    <row r="630" spans="2:7" ht="13.2" x14ac:dyDescent="0.25">
      <c r="B630" s="17"/>
      <c r="C630" s="17"/>
      <c r="D630" s="17"/>
      <c r="E630" s="17"/>
      <c r="F630" s="17"/>
      <c r="G630" s="17"/>
    </row>
    <row r="631" spans="2:7" ht="13.2" x14ac:dyDescent="0.25">
      <c r="B631" s="17"/>
      <c r="C631" s="17"/>
      <c r="D631" s="17"/>
      <c r="E631" s="17"/>
      <c r="F631" s="17"/>
      <c r="G631" s="17"/>
    </row>
    <row r="632" spans="2:7" ht="13.2" x14ac:dyDescent="0.25">
      <c r="B632" s="17"/>
      <c r="C632" s="17"/>
      <c r="D632" s="17"/>
      <c r="E632" s="17"/>
      <c r="F632" s="17"/>
      <c r="G632" s="17"/>
    </row>
    <row r="633" spans="2:7" ht="13.2" x14ac:dyDescent="0.25">
      <c r="B633" s="17"/>
      <c r="C633" s="17"/>
      <c r="D633" s="17"/>
      <c r="E633" s="17"/>
      <c r="F633" s="17"/>
      <c r="G633" s="17"/>
    </row>
    <row r="634" spans="2:7" ht="13.2" x14ac:dyDescent="0.25">
      <c r="B634" s="17"/>
      <c r="C634" s="17"/>
      <c r="D634" s="17"/>
      <c r="E634" s="17"/>
      <c r="F634" s="17"/>
      <c r="G634" s="17"/>
    </row>
    <row r="635" spans="2:7" ht="13.2" x14ac:dyDescent="0.25">
      <c r="B635" s="17"/>
      <c r="C635" s="17"/>
      <c r="D635" s="17"/>
      <c r="E635" s="17"/>
      <c r="F635" s="17"/>
      <c r="G635" s="17"/>
    </row>
    <row r="636" spans="2:7" ht="13.2" x14ac:dyDescent="0.25">
      <c r="B636" s="17"/>
      <c r="C636" s="17"/>
      <c r="D636" s="17"/>
      <c r="E636" s="17"/>
      <c r="F636" s="17"/>
      <c r="G636" s="17"/>
    </row>
    <row r="637" spans="2:7" ht="13.2" x14ac:dyDescent="0.25">
      <c r="B637" s="17"/>
      <c r="C637" s="17"/>
      <c r="D637" s="17"/>
      <c r="E637" s="17"/>
      <c r="F637" s="17"/>
      <c r="G637" s="17"/>
    </row>
    <row r="638" spans="2:7" ht="13.2" x14ac:dyDescent="0.25">
      <c r="B638" s="17"/>
      <c r="C638" s="17"/>
      <c r="D638" s="17"/>
      <c r="E638" s="17"/>
      <c r="F638" s="17"/>
      <c r="G638" s="17"/>
    </row>
    <row r="639" spans="2:7" ht="13.2" x14ac:dyDescent="0.25">
      <c r="B639" s="17"/>
      <c r="C639" s="17"/>
      <c r="D639" s="17"/>
      <c r="E639" s="17"/>
      <c r="F639" s="17"/>
      <c r="G639" s="17"/>
    </row>
    <row r="640" spans="2:7" ht="13.2" x14ac:dyDescent="0.25">
      <c r="B640" s="17"/>
      <c r="C640" s="17"/>
      <c r="D640" s="17"/>
      <c r="E640" s="17"/>
      <c r="F640" s="17"/>
      <c r="G640" s="17"/>
    </row>
    <row r="641" spans="2:7" ht="13.2" x14ac:dyDescent="0.25">
      <c r="B641" s="17"/>
      <c r="C641" s="17"/>
      <c r="D641" s="17"/>
      <c r="E641" s="17"/>
      <c r="F641" s="17"/>
      <c r="G641" s="17"/>
    </row>
    <row r="642" spans="2:7" ht="13.2" x14ac:dyDescent="0.25">
      <c r="B642" s="17"/>
      <c r="C642" s="17"/>
      <c r="D642" s="17"/>
      <c r="E642" s="17"/>
      <c r="F642" s="17"/>
      <c r="G642" s="17"/>
    </row>
    <row r="643" spans="2:7" ht="13.2" x14ac:dyDescent="0.25">
      <c r="B643" s="17"/>
      <c r="C643" s="17"/>
      <c r="D643" s="17"/>
      <c r="E643" s="17"/>
      <c r="F643" s="17"/>
      <c r="G643" s="17"/>
    </row>
    <row r="644" spans="2:7" ht="13.2" x14ac:dyDescent="0.25">
      <c r="B644" s="17"/>
      <c r="C644" s="17"/>
      <c r="D644" s="17"/>
      <c r="E644" s="17"/>
      <c r="F644" s="17"/>
      <c r="G644" s="17"/>
    </row>
    <row r="645" spans="2:7" ht="13.2" x14ac:dyDescent="0.25">
      <c r="B645" s="17"/>
      <c r="C645" s="17"/>
      <c r="D645" s="17"/>
      <c r="E645" s="17"/>
      <c r="F645" s="17"/>
      <c r="G645" s="17"/>
    </row>
    <row r="646" spans="2:7" ht="13.2" x14ac:dyDescent="0.25">
      <c r="B646" s="17"/>
      <c r="C646" s="17"/>
      <c r="D646" s="17"/>
      <c r="E646" s="17"/>
      <c r="F646" s="17"/>
      <c r="G646" s="17"/>
    </row>
    <row r="647" spans="2:7" ht="13.2" x14ac:dyDescent="0.25">
      <c r="B647" s="17"/>
      <c r="C647" s="17"/>
      <c r="D647" s="17"/>
      <c r="E647" s="17"/>
      <c r="F647" s="17"/>
      <c r="G647" s="17"/>
    </row>
    <row r="648" spans="2:7" ht="13.2" x14ac:dyDescent="0.25">
      <c r="B648" s="17"/>
      <c r="C648" s="17"/>
      <c r="D648" s="17"/>
      <c r="E648" s="17"/>
      <c r="F648" s="17"/>
      <c r="G648" s="17"/>
    </row>
    <row r="649" spans="2:7" ht="13.2" x14ac:dyDescent="0.25">
      <c r="B649" s="17"/>
      <c r="C649" s="17"/>
      <c r="D649" s="17"/>
      <c r="E649" s="17"/>
      <c r="F649" s="17"/>
      <c r="G649" s="17"/>
    </row>
    <row r="650" spans="2:7" ht="13.2" x14ac:dyDescent="0.25">
      <c r="B650" s="17"/>
      <c r="C650" s="17"/>
      <c r="D650" s="17"/>
      <c r="E650" s="17"/>
      <c r="F650" s="17"/>
      <c r="G650" s="17"/>
    </row>
    <row r="651" spans="2:7" ht="13.2" x14ac:dyDescent="0.25">
      <c r="B651" s="17"/>
      <c r="C651" s="17"/>
      <c r="D651" s="17"/>
      <c r="E651" s="17"/>
      <c r="F651" s="17"/>
      <c r="G651" s="17"/>
    </row>
    <row r="652" spans="2:7" ht="13.2" x14ac:dyDescent="0.25">
      <c r="B652" s="17"/>
      <c r="C652" s="17"/>
      <c r="D652" s="17"/>
      <c r="E652" s="17"/>
      <c r="F652" s="17"/>
      <c r="G652" s="17"/>
    </row>
    <row r="653" spans="2:7" ht="13.2" x14ac:dyDescent="0.25">
      <c r="B653" s="17"/>
      <c r="C653" s="17"/>
      <c r="D653" s="17"/>
      <c r="E653" s="17"/>
      <c r="F653" s="17"/>
      <c r="G653" s="17"/>
    </row>
    <row r="654" spans="2:7" ht="13.2" x14ac:dyDescent="0.25">
      <c r="B654" s="17"/>
      <c r="C654" s="17"/>
      <c r="D654" s="17"/>
      <c r="E654" s="17"/>
      <c r="F654" s="17"/>
      <c r="G654" s="17"/>
    </row>
    <row r="655" spans="2:7" ht="13.2" x14ac:dyDescent="0.25">
      <c r="B655" s="17"/>
      <c r="C655" s="17"/>
      <c r="D655" s="17"/>
      <c r="E655" s="17"/>
      <c r="F655" s="17"/>
      <c r="G655" s="17"/>
    </row>
    <row r="656" spans="2:7" ht="13.2" x14ac:dyDescent="0.25">
      <c r="B656" s="17"/>
      <c r="C656" s="17"/>
      <c r="D656" s="17"/>
      <c r="E656" s="17"/>
      <c r="F656" s="17"/>
      <c r="G656" s="17"/>
    </row>
    <row r="657" spans="2:7" ht="13.2" x14ac:dyDescent="0.25">
      <c r="B657" s="17"/>
      <c r="C657" s="17"/>
      <c r="D657" s="17"/>
      <c r="E657" s="17"/>
      <c r="F657" s="17"/>
      <c r="G657" s="17"/>
    </row>
    <row r="658" spans="2:7" ht="13.2" x14ac:dyDescent="0.25">
      <c r="B658" s="17"/>
      <c r="C658" s="17"/>
      <c r="D658" s="17"/>
      <c r="E658" s="17"/>
      <c r="F658" s="17"/>
      <c r="G658" s="17"/>
    </row>
    <row r="659" spans="2:7" ht="13.2" x14ac:dyDescent="0.25">
      <c r="B659" s="17"/>
      <c r="C659" s="17"/>
      <c r="D659" s="17"/>
      <c r="E659" s="17"/>
      <c r="F659" s="17"/>
      <c r="G659" s="17"/>
    </row>
    <row r="660" spans="2:7" ht="13.2" x14ac:dyDescent="0.25">
      <c r="B660" s="17"/>
      <c r="C660" s="17"/>
      <c r="D660" s="17"/>
      <c r="E660" s="17"/>
      <c r="F660" s="17"/>
      <c r="G660" s="17"/>
    </row>
    <row r="661" spans="2:7" ht="13.2" x14ac:dyDescent="0.25">
      <c r="B661" s="17"/>
      <c r="C661" s="17"/>
      <c r="D661" s="17"/>
      <c r="E661" s="17"/>
      <c r="F661" s="17"/>
      <c r="G661" s="17"/>
    </row>
    <row r="662" spans="2:7" ht="13.2" x14ac:dyDescent="0.25">
      <c r="B662" s="17"/>
      <c r="C662" s="17"/>
      <c r="D662" s="17"/>
      <c r="E662" s="17"/>
      <c r="F662" s="17"/>
      <c r="G662" s="17"/>
    </row>
    <row r="663" spans="2:7" ht="13.2" x14ac:dyDescent="0.25">
      <c r="B663" s="17"/>
      <c r="C663" s="17"/>
      <c r="D663" s="17"/>
      <c r="E663" s="17"/>
      <c r="F663" s="17"/>
      <c r="G663" s="17"/>
    </row>
    <row r="664" spans="2:7" ht="13.2" x14ac:dyDescent="0.25">
      <c r="B664" s="17"/>
      <c r="C664" s="17"/>
      <c r="D664" s="17"/>
      <c r="E664" s="17"/>
      <c r="F664" s="17"/>
      <c r="G664" s="17"/>
    </row>
    <row r="665" spans="2:7" ht="13.2" x14ac:dyDescent="0.25">
      <c r="B665" s="17"/>
      <c r="C665" s="17"/>
      <c r="D665" s="17"/>
      <c r="E665" s="17"/>
      <c r="F665" s="17"/>
      <c r="G665" s="17"/>
    </row>
    <row r="666" spans="2:7" ht="13.2" x14ac:dyDescent="0.25">
      <c r="B666" s="17"/>
      <c r="C666" s="17"/>
      <c r="D666" s="17"/>
      <c r="E666" s="17"/>
      <c r="F666" s="17"/>
      <c r="G666" s="17"/>
    </row>
    <row r="667" spans="2:7" ht="13.2" x14ac:dyDescent="0.25">
      <c r="B667" s="17"/>
      <c r="C667" s="17"/>
      <c r="D667" s="17"/>
      <c r="E667" s="17"/>
      <c r="F667" s="17"/>
      <c r="G667" s="17"/>
    </row>
    <row r="668" spans="2:7" ht="13.2" x14ac:dyDescent="0.25">
      <c r="B668" s="17"/>
      <c r="C668" s="17"/>
      <c r="D668" s="17"/>
      <c r="E668" s="17"/>
      <c r="F668" s="17"/>
      <c r="G668" s="17"/>
    </row>
    <row r="669" spans="2:7" ht="13.2" x14ac:dyDescent="0.25">
      <c r="B669" s="17"/>
      <c r="C669" s="17"/>
      <c r="D669" s="17"/>
      <c r="E669" s="17"/>
      <c r="F669" s="17"/>
      <c r="G669" s="17"/>
    </row>
    <row r="670" spans="2:7" ht="13.2" x14ac:dyDescent="0.25">
      <c r="B670" s="17"/>
      <c r="C670" s="17"/>
      <c r="D670" s="17"/>
      <c r="E670" s="17"/>
      <c r="F670" s="17"/>
      <c r="G670" s="17"/>
    </row>
    <row r="671" spans="2:7" ht="13.2" x14ac:dyDescent="0.25">
      <c r="B671" s="17"/>
      <c r="C671" s="17"/>
      <c r="D671" s="17"/>
      <c r="E671" s="17"/>
      <c r="F671" s="17"/>
      <c r="G671" s="17"/>
    </row>
    <row r="672" spans="2:7" ht="13.2" x14ac:dyDescent="0.25">
      <c r="B672" s="17"/>
      <c r="C672" s="17"/>
      <c r="D672" s="17"/>
      <c r="E672" s="17"/>
      <c r="F672" s="17"/>
      <c r="G672" s="17"/>
    </row>
    <row r="673" spans="2:7" ht="13.2" x14ac:dyDescent="0.25">
      <c r="B673" s="17"/>
      <c r="C673" s="17"/>
      <c r="D673" s="17"/>
      <c r="E673" s="17"/>
      <c r="F673" s="17"/>
      <c r="G673" s="17"/>
    </row>
    <row r="674" spans="2:7" ht="13.2" x14ac:dyDescent="0.25">
      <c r="B674" s="17"/>
      <c r="C674" s="17"/>
      <c r="D674" s="17"/>
      <c r="E674" s="17"/>
      <c r="F674" s="17"/>
      <c r="G674" s="17"/>
    </row>
    <row r="675" spans="2:7" ht="13.2" x14ac:dyDescent="0.25">
      <c r="B675" s="17"/>
      <c r="C675" s="17"/>
      <c r="D675" s="17"/>
      <c r="E675" s="17"/>
      <c r="F675" s="17"/>
      <c r="G675" s="17"/>
    </row>
    <row r="676" spans="2:7" ht="13.2" x14ac:dyDescent="0.25">
      <c r="B676" s="17"/>
      <c r="C676" s="17"/>
      <c r="D676" s="17"/>
      <c r="E676" s="17"/>
      <c r="F676" s="17"/>
      <c r="G676" s="17"/>
    </row>
    <row r="677" spans="2:7" ht="13.2" x14ac:dyDescent="0.25">
      <c r="B677" s="17"/>
      <c r="C677" s="17"/>
      <c r="D677" s="17"/>
      <c r="E677" s="17"/>
      <c r="F677" s="17"/>
      <c r="G677" s="17"/>
    </row>
    <row r="678" spans="2:7" ht="13.2" x14ac:dyDescent="0.25">
      <c r="B678" s="17"/>
      <c r="C678" s="17"/>
      <c r="D678" s="17"/>
      <c r="E678" s="17"/>
      <c r="F678" s="17"/>
      <c r="G678" s="17"/>
    </row>
    <row r="679" spans="2:7" ht="13.2" x14ac:dyDescent="0.25">
      <c r="B679" s="17"/>
      <c r="C679" s="17"/>
      <c r="D679" s="17"/>
      <c r="E679" s="17"/>
      <c r="F679" s="17"/>
      <c r="G679" s="17"/>
    </row>
    <row r="680" spans="2:7" ht="13.2" x14ac:dyDescent="0.25">
      <c r="B680" s="17"/>
      <c r="C680" s="17"/>
      <c r="D680" s="17"/>
      <c r="E680" s="17"/>
      <c r="F680" s="17"/>
      <c r="G680" s="17"/>
    </row>
    <row r="681" spans="2:7" ht="13.2" x14ac:dyDescent="0.25">
      <c r="B681" s="17"/>
      <c r="C681" s="17"/>
      <c r="D681" s="17"/>
      <c r="E681" s="17"/>
      <c r="F681" s="17"/>
      <c r="G681" s="17"/>
    </row>
    <row r="682" spans="2:7" ht="13.2" x14ac:dyDescent="0.25">
      <c r="B682" s="17"/>
      <c r="C682" s="17"/>
      <c r="D682" s="17"/>
      <c r="E682" s="17"/>
      <c r="F682" s="17"/>
      <c r="G682" s="17"/>
    </row>
    <row r="683" spans="2:7" ht="13.2" x14ac:dyDescent="0.25">
      <c r="B683" s="17"/>
      <c r="C683" s="17"/>
      <c r="D683" s="17"/>
      <c r="E683" s="17"/>
      <c r="F683" s="17"/>
      <c r="G683" s="17"/>
    </row>
    <row r="684" spans="2:7" ht="13.2" x14ac:dyDescent="0.25">
      <c r="B684" s="17"/>
      <c r="C684" s="17"/>
      <c r="D684" s="17"/>
      <c r="E684" s="17"/>
      <c r="F684" s="17"/>
      <c r="G684" s="17"/>
    </row>
    <row r="685" spans="2:7" ht="13.2" x14ac:dyDescent="0.25">
      <c r="B685" s="17"/>
      <c r="C685" s="17"/>
      <c r="D685" s="17"/>
      <c r="E685" s="17"/>
      <c r="F685" s="17"/>
      <c r="G685" s="17"/>
    </row>
    <row r="686" spans="2:7" ht="13.2" x14ac:dyDescent="0.25">
      <c r="B686" s="17"/>
      <c r="C686" s="17"/>
      <c r="D686" s="17"/>
      <c r="E686" s="17"/>
      <c r="F686" s="17"/>
      <c r="G686" s="17"/>
    </row>
    <row r="687" spans="2:7" ht="13.2" x14ac:dyDescent="0.25">
      <c r="B687" s="17"/>
      <c r="C687" s="17"/>
      <c r="D687" s="17"/>
      <c r="E687" s="17"/>
      <c r="F687" s="17"/>
      <c r="G687" s="17"/>
    </row>
    <row r="688" spans="2:7" ht="13.2" x14ac:dyDescent="0.25">
      <c r="B688" s="17"/>
      <c r="C688" s="17"/>
      <c r="D688" s="17"/>
      <c r="E688" s="17"/>
      <c r="F688" s="17"/>
      <c r="G688" s="17"/>
    </row>
    <row r="689" spans="2:7" ht="13.2" x14ac:dyDescent="0.25">
      <c r="B689" s="17"/>
      <c r="C689" s="17"/>
      <c r="D689" s="17"/>
      <c r="E689" s="17"/>
      <c r="F689" s="17"/>
      <c r="G689" s="17"/>
    </row>
    <row r="690" spans="2:7" ht="13.2" x14ac:dyDescent="0.25">
      <c r="B690" s="17"/>
      <c r="C690" s="17"/>
      <c r="D690" s="17"/>
      <c r="E690" s="17"/>
      <c r="F690" s="17"/>
      <c r="G690" s="17"/>
    </row>
    <row r="691" spans="2:7" ht="13.2" x14ac:dyDescent="0.25">
      <c r="B691" s="17"/>
      <c r="C691" s="17"/>
      <c r="D691" s="17"/>
      <c r="E691" s="17"/>
      <c r="F691" s="17"/>
      <c r="G691" s="17"/>
    </row>
    <row r="692" spans="2:7" ht="13.2" x14ac:dyDescent="0.25">
      <c r="B692" s="17"/>
      <c r="C692" s="17"/>
      <c r="D692" s="17"/>
      <c r="E692" s="17"/>
      <c r="F692" s="17"/>
      <c r="G692" s="17"/>
    </row>
    <row r="693" spans="2:7" ht="13.2" x14ac:dyDescent="0.25">
      <c r="B693" s="17"/>
      <c r="C693" s="17"/>
      <c r="D693" s="17"/>
      <c r="E693" s="17"/>
      <c r="F693" s="17"/>
      <c r="G693" s="17"/>
    </row>
    <row r="694" spans="2:7" ht="13.2" x14ac:dyDescent="0.25">
      <c r="B694" s="17"/>
      <c r="C694" s="17"/>
      <c r="D694" s="17"/>
      <c r="E694" s="17"/>
      <c r="F694" s="17"/>
      <c r="G694" s="17"/>
    </row>
    <row r="695" spans="2:7" ht="13.2" x14ac:dyDescent="0.25">
      <c r="B695" s="17"/>
      <c r="C695" s="17"/>
      <c r="D695" s="17"/>
      <c r="E695" s="17"/>
      <c r="F695" s="17"/>
      <c r="G695" s="17"/>
    </row>
    <row r="696" spans="2:7" ht="13.2" x14ac:dyDescent="0.25">
      <c r="B696" s="17"/>
      <c r="C696" s="17"/>
      <c r="D696" s="17"/>
      <c r="E696" s="17"/>
      <c r="F696" s="17"/>
      <c r="G696" s="17"/>
    </row>
    <row r="697" spans="2:7" ht="13.2" x14ac:dyDescent="0.25">
      <c r="B697" s="17"/>
      <c r="C697" s="17"/>
      <c r="D697" s="17"/>
      <c r="E697" s="17"/>
      <c r="F697" s="17"/>
      <c r="G697" s="17"/>
    </row>
    <row r="698" spans="2:7" ht="13.2" x14ac:dyDescent="0.25">
      <c r="B698" s="17"/>
      <c r="C698" s="17"/>
      <c r="D698" s="17"/>
      <c r="E698" s="17"/>
      <c r="F698" s="17"/>
      <c r="G698" s="17"/>
    </row>
    <row r="699" spans="2:7" ht="13.2" x14ac:dyDescent="0.25">
      <c r="B699" s="17"/>
      <c r="C699" s="17"/>
      <c r="D699" s="17"/>
      <c r="E699" s="17"/>
      <c r="F699" s="17"/>
      <c r="G699" s="17"/>
    </row>
    <row r="700" spans="2:7" ht="13.2" x14ac:dyDescent="0.25">
      <c r="B700" s="17"/>
      <c r="C700" s="17"/>
      <c r="D700" s="17"/>
      <c r="E700" s="17"/>
      <c r="F700" s="17"/>
      <c r="G700" s="17"/>
    </row>
    <row r="701" spans="2:7" ht="13.2" x14ac:dyDescent="0.25">
      <c r="B701" s="17"/>
      <c r="C701" s="17"/>
      <c r="D701" s="17"/>
      <c r="E701" s="17"/>
      <c r="F701" s="17"/>
      <c r="G701" s="17"/>
    </row>
    <row r="702" spans="2:7" ht="13.2" x14ac:dyDescent="0.25">
      <c r="B702" s="17"/>
      <c r="C702" s="17"/>
      <c r="D702" s="17"/>
      <c r="E702" s="17"/>
      <c r="F702" s="17"/>
      <c r="G702" s="17"/>
    </row>
    <row r="703" spans="2:7" ht="13.2" x14ac:dyDescent="0.25">
      <c r="B703" s="17"/>
      <c r="C703" s="17"/>
      <c r="D703" s="17"/>
      <c r="E703" s="17"/>
      <c r="F703" s="17"/>
      <c r="G703" s="17"/>
    </row>
    <row r="704" spans="2:7" ht="13.2" x14ac:dyDescent="0.25">
      <c r="B704" s="17"/>
      <c r="C704" s="17"/>
      <c r="D704" s="17"/>
      <c r="E704" s="17"/>
      <c r="F704" s="17"/>
      <c r="G704" s="17"/>
    </row>
    <row r="705" spans="2:7" ht="13.2" x14ac:dyDescent="0.25">
      <c r="B705" s="17"/>
      <c r="C705" s="17"/>
      <c r="D705" s="17"/>
      <c r="E705" s="17"/>
      <c r="F705" s="17"/>
      <c r="G705" s="17"/>
    </row>
    <row r="706" spans="2:7" ht="13.2" x14ac:dyDescent="0.25">
      <c r="B706" s="17"/>
      <c r="C706" s="17"/>
      <c r="D706" s="17"/>
      <c r="E706" s="17"/>
      <c r="F706" s="17"/>
      <c r="G706" s="17"/>
    </row>
    <row r="707" spans="2:7" ht="13.2" x14ac:dyDescent="0.25">
      <c r="B707" s="17"/>
      <c r="C707" s="17"/>
      <c r="D707" s="17"/>
      <c r="E707" s="17"/>
      <c r="F707" s="17"/>
      <c r="G707" s="17"/>
    </row>
    <row r="708" spans="2:7" ht="13.2" x14ac:dyDescent="0.25">
      <c r="B708" s="17"/>
      <c r="C708" s="17"/>
      <c r="D708" s="17"/>
      <c r="E708" s="17"/>
      <c r="F708" s="17"/>
      <c r="G708" s="17"/>
    </row>
    <row r="709" spans="2:7" ht="13.2" x14ac:dyDescent="0.25">
      <c r="B709" s="17"/>
      <c r="C709" s="17"/>
      <c r="D709" s="17"/>
      <c r="E709" s="17"/>
      <c r="F709" s="17"/>
      <c r="G709" s="17"/>
    </row>
    <row r="710" spans="2:7" ht="13.2" x14ac:dyDescent="0.25">
      <c r="B710" s="17"/>
      <c r="C710" s="17"/>
      <c r="D710" s="17"/>
      <c r="E710" s="17"/>
      <c r="F710" s="17"/>
      <c r="G710" s="17"/>
    </row>
    <row r="711" spans="2:7" ht="13.2" x14ac:dyDescent="0.25">
      <c r="B711" s="17"/>
      <c r="C711" s="17"/>
      <c r="D711" s="17"/>
      <c r="E711" s="17"/>
      <c r="F711" s="17"/>
      <c r="G711" s="17"/>
    </row>
    <row r="712" spans="2:7" ht="13.2" x14ac:dyDescent="0.25">
      <c r="B712" s="17"/>
      <c r="C712" s="17"/>
      <c r="D712" s="17"/>
      <c r="E712" s="17"/>
      <c r="F712" s="17"/>
      <c r="G712" s="17"/>
    </row>
    <row r="713" spans="2:7" ht="13.2" x14ac:dyDescent="0.25">
      <c r="B713" s="17"/>
      <c r="C713" s="17"/>
      <c r="D713" s="17"/>
      <c r="E713" s="17"/>
      <c r="F713" s="17"/>
      <c r="G713" s="17"/>
    </row>
    <row r="714" spans="2:7" ht="13.2" x14ac:dyDescent="0.25">
      <c r="B714" s="17"/>
      <c r="C714" s="17"/>
      <c r="D714" s="17"/>
      <c r="E714" s="17"/>
      <c r="F714" s="17"/>
      <c r="G714" s="17"/>
    </row>
    <row r="715" spans="2:7" ht="13.2" x14ac:dyDescent="0.25">
      <c r="B715" s="17"/>
      <c r="C715" s="17"/>
      <c r="D715" s="17"/>
      <c r="E715" s="17"/>
      <c r="F715" s="17"/>
      <c r="G715" s="17"/>
    </row>
    <row r="716" spans="2:7" ht="13.2" x14ac:dyDescent="0.25">
      <c r="B716" s="17"/>
      <c r="C716" s="17"/>
      <c r="D716" s="17"/>
      <c r="E716" s="17"/>
      <c r="F716" s="17"/>
      <c r="G716" s="17"/>
    </row>
    <row r="717" spans="2:7" ht="13.2" x14ac:dyDescent="0.25">
      <c r="B717" s="17"/>
      <c r="C717" s="17"/>
      <c r="D717" s="17"/>
      <c r="E717" s="17"/>
      <c r="F717" s="17"/>
      <c r="G717" s="17"/>
    </row>
    <row r="718" spans="2:7" ht="13.2" x14ac:dyDescent="0.25">
      <c r="B718" s="17"/>
      <c r="C718" s="17"/>
      <c r="D718" s="17"/>
      <c r="E718" s="17"/>
      <c r="F718" s="17"/>
      <c r="G718" s="17"/>
    </row>
    <row r="719" spans="2:7" ht="13.2" x14ac:dyDescent="0.25">
      <c r="B719" s="17"/>
      <c r="C719" s="17"/>
      <c r="D719" s="17"/>
      <c r="E719" s="17"/>
      <c r="F719" s="17"/>
      <c r="G719" s="17"/>
    </row>
    <row r="720" spans="2:7" ht="13.2" x14ac:dyDescent="0.25">
      <c r="B720" s="17"/>
      <c r="C720" s="17"/>
      <c r="D720" s="17"/>
      <c r="E720" s="17"/>
      <c r="F720" s="17"/>
      <c r="G720" s="17"/>
    </row>
    <row r="721" spans="2:7" ht="13.2" x14ac:dyDescent="0.25">
      <c r="B721" s="17"/>
      <c r="C721" s="17"/>
      <c r="D721" s="17"/>
      <c r="E721" s="17"/>
      <c r="F721" s="17"/>
      <c r="G721" s="17"/>
    </row>
    <row r="722" spans="2:7" ht="13.2" x14ac:dyDescent="0.25">
      <c r="B722" s="17"/>
      <c r="C722" s="17"/>
      <c r="D722" s="17"/>
      <c r="E722" s="17"/>
      <c r="F722" s="17"/>
      <c r="G722" s="17"/>
    </row>
    <row r="723" spans="2:7" ht="13.2" x14ac:dyDescent="0.25">
      <c r="B723" s="17"/>
      <c r="C723" s="17"/>
      <c r="D723" s="17"/>
      <c r="E723" s="17"/>
      <c r="F723" s="17"/>
      <c r="G723" s="17"/>
    </row>
    <row r="724" spans="2:7" ht="13.2" x14ac:dyDescent="0.25">
      <c r="B724" s="17"/>
      <c r="C724" s="17"/>
      <c r="D724" s="17"/>
      <c r="E724" s="17"/>
      <c r="F724" s="17"/>
      <c r="G724" s="17"/>
    </row>
    <row r="725" spans="2:7" ht="13.2" x14ac:dyDescent="0.25">
      <c r="B725" s="17"/>
      <c r="C725" s="17"/>
      <c r="D725" s="17"/>
      <c r="E725" s="17"/>
      <c r="F725" s="17"/>
      <c r="G725" s="17"/>
    </row>
    <row r="726" spans="2:7" ht="13.2" x14ac:dyDescent="0.25">
      <c r="B726" s="17"/>
      <c r="C726" s="17"/>
      <c r="D726" s="17"/>
      <c r="E726" s="17"/>
      <c r="F726" s="17"/>
      <c r="G726" s="17"/>
    </row>
    <row r="727" spans="2:7" ht="13.2" x14ac:dyDescent="0.25">
      <c r="B727" s="17"/>
      <c r="C727" s="17"/>
      <c r="D727" s="17"/>
      <c r="E727" s="17"/>
      <c r="F727" s="17"/>
      <c r="G727" s="17"/>
    </row>
    <row r="728" spans="2:7" ht="13.2" x14ac:dyDescent="0.25">
      <c r="B728" s="17"/>
      <c r="C728" s="17"/>
      <c r="D728" s="17"/>
      <c r="E728" s="17"/>
      <c r="F728" s="17"/>
      <c r="G728" s="17"/>
    </row>
    <row r="729" spans="2:7" ht="13.2" x14ac:dyDescent="0.25">
      <c r="B729" s="17"/>
      <c r="C729" s="17"/>
      <c r="D729" s="17"/>
      <c r="E729" s="17"/>
      <c r="F729" s="17"/>
      <c r="G729" s="17"/>
    </row>
    <row r="730" spans="2:7" ht="13.2" x14ac:dyDescent="0.25">
      <c r="B730" s="17"/>
      <c r="C730" s="17"/>
      <c r="D730" s="17"/>
      <c r="E730" s="17"/>
      <c r="F730" s="17"/>
      <c r="G730" s="17"/>
    </row>
    <row r="731" spans="2:7" ht="13.2" x14ac:dyDescent="0.25">
      <c r="B731" s="17"/>
      <c r="C731" s="17"/>
      <c r="D731" s="17"/>
      <c r="E731" s="17"/>
      <c r="F731" s="17"/>
      <c r="G731" s="17"/>
    </row>
    <row r="732" spans="2:7" ht="13.2" x14ac:dyDescent="0.25">
      <c r="B732" s="17"/>
      <c r="C732" s="17"/>
      <c r="D732" s="17"/>
      <c r="E732" s="17"/>
      <c r="F732" s="17"/>
      <c r="G732" s="17"/>
    </row>
    <row r="733" spans="2:7" ht="13.2" x14ac:dyDescent="0.25">
      <c r="B733" s="17"/>
      <c r="C733" s="17"/>
      <c r="D733" s="17"/>
      <c r="E733" s="17"/>
      <c r="F733" s="17"/>
      <c r="G733" s="17"/>
    </row>
    <row r="734" spans="2:7" ht="13.2" x14ac:dyDescent="0.25">
      <c r="B734" s="17"/>
      <c r="C734" s="17"/>
      <c r="D734" s="17"/>
      <c r="E734" s="17"/>
      <c r="F734" s="17"/>
      <c r="G734" s="17"/>
    </row>
    <row r="735" spans="2:7" ht="13.2" x14ac:dyDescent="0.25">
      <c r="B735" s="17"/>
      <c r="C735" s="17"/>
      <c r="D735" s="17"/>
      <c r="E735" s="17"/>
      <c r="F735" s="17"/>
      <c r="G735" s="17"/>
    </row>
    <row r="736" spans="2:7" ht="13.2" x14ac:dyDescent="0.25">
      <c r="B736" s="17"/>
      <c r="C736" s="17"/>
      <c r="D736" s="17"/>
      <c r="E736" s="17"/>
      <c r="F736" s="17"/>
      <c r="G736" s="17"/>
    </row>
    <row r="737" spans="2:7" ht="13.2" x14ac:dyDescent="0.25">
      <c r="B737" s="17"/>
      <c r="C737" s="17"/>
      <c r="D737" s="17"/>
      <c r="E737" s="17"/>
      <c r="F737" s="17"/>
      <c r="G737" s="17"/>
    </row>
    <row r="738" spans="2:7" ht="13.2" x14ac:dyDescent="0.25">
      <c r="B738" s="17"/>
      <c r="C738" s="17"/>
      <c r="D738" s="17"/>
      <c r="E738" s="17"/>
      <c r="F738" s="17"/>
      <c r="G738" s="17"/>
    </row>
    <row r="739" spans="2:7" ht="13.2" x14ac:dyDescent="0.25">
      <c r="B739" s="17"/>
      <c r="C739" s="17"/>
      <c r="D739" s="17"/>
      <c r="E739" s="17"/>
      <c r="F739" s="17"/>
      <c r="G739" s="17"/>
    </row>
    <row r="740" spans="2:7" ht="13.2" x14ac:dyDescent="0.25">
      <c r="B740" s="17"/>
      <c r="C740" s="17"/>
      <c r="D740" s="17"/>
      <c r="E740" s="17"/>
      <c r="F740" s="17"/>
      <c r="G740" s="17"/>
    </row>
    <row r="741" spans="2:7" ht="13.2" x14ac:dyDescent="0.25">
      <c r="B741" s="17"/>
      <c r="C741" s="17"/>
      <c r="D741" s="17"/>
      <c r="E741" s="17"/>
      <c r="F741" s="17"/>
      <c r="G741" s="17"/>
    </row>
    <row r="742" spans="2:7" ht="13.2" x14ac:dyDescent="0.25">
      <c r="B742" s="17"/>
      <c r="C742" s="17"/>
      <c r="D742" s="17"/>
      <c r="E742" s="17"/>
      <c r="F742" s="17"/>
      <c r="G742" s="17"/>
    </row>
    <row r="743" spans="2:7" ht="13.2" x14ac:dyDescent="0.25">
      <c r="B743" s="17"/>
      <c r="C743" s="17"/>
      <c r="D743" s="17"/>
      <c r="E743" s="17"/>
      <c r="F743" s="17"/>
      <c r="G743" s="17"/>
    </row>
    <row r="744" spans="2:7" ht="13.2" x14ac:dyDescent="0.25">
      <c r="B744" s="17"/>
      <c r="C744" s="17"/>
      <c r="D744" s="17"/>
      <c r="E744" s="17"/>
      <c r="F744" s="17"/>
      <c r="G744" s="17"/>
    </row>
    <row r="745" spans="2:7" ht="13.2" x14ac:dyDescent="0.25">
      <c r="B745" s="17"/>
      <c r="C745" s="17"/>
      <c r="D745" s="17"/>
      <c r="E745" s="17"/>
      <c r="F745" s="17"/>
      <c r="G745" s="17"/>
    </row>
    <row r="746" spans="2:7" ht="13.2" x14ac:dyDescent="0.25">
      <c r="B746" s="17"/>
      <c r="C746" s="17"/>
      <c r="D746" s="17"/>
      <c r="E746" s="17"/>
      <c r="F746" s="17"/>
      <c r="G746" s="17"/>
    </row>
    <row r="747" spans="2:7" ht="13.2" x14ac:dyDescent="0.25">
      <c r="B747" s="17"/>
      <c r="C747" s="17"/>
      <c r="D747" s="17"/>
      <c r="E747" s="17"/>
      <c r="F747" s="17"/>
      <c r="G747" s="17"/>
    </row>
    <row r="748" spans="2:7" ht="13.2" x14ac:dyDescent="0.25">
      <c r="B748" s="17"/>
      <c r="C748" s="17"/>
      <c r="D748" s="17"/>
      <c r="E748" s="17"/>
      <c r="F748" s="17"/>
      <c r="G748" s="17"/>
    </row>
    <row r="749" spans="2:7" ht="13.2" x14ac:dyDescent="0.25">
      <c r="B749" s="17"/>
      <c r="C749" s="17"/>
      <c r="D749" s="17"/>
      <c r="E749" s="17"/>
      <c r="F749" s="17"/>
      <c r="G749" s="17"/>
    </row>
    <row r="750" spans="2:7" ht="13.2" x14ac:dyDescent="0.25">
      <c r="B750" s="17"/>
      <c r="C750" s="17"/>
      <c r="D750" s="17"/>
      <c r="E750" s="17"/>
      <c r="F750" s="17"/>
      <c r="G750" s="17"/>
    </row>
    <row r="751" spans="2:7" ht="13.2" x14ac:dyDescent="0.25">
      <c r="B751" s="17"/>
      <c r="C751" s="17"/>
      <c r="D751" s="17"/>
      <c r="E751" s="17"/>
      <c r="F751" s="17"/>
      <c r="G751" s="17"/>
    </row>
    <row r="752" spans="2:7" ht="13.2" x14ac:dyDescent="0.25">
      <c r="B752" s="17"/>
      <c r="C752" s="17"/>
      <c r="D752" s="17"/>
      <c r="E752" s="17"/>
      <c r="F752" s="17"/>
      <c r="G752" s="17"/>
    </row>
    <row r="753" spans="2:7" ht="13.2" x14ac:dyDescent="0.25">
      <c r="B753" s="17"/>
      <c r="C753" s="17"/>
      <c r="D753" s="17"/>
      <c r="E753" s="17"/>
      <c r="F753" s="17"/>
      <c r="G753" s="17"/>
    </row>
    <row r="754" spans="2:7" ht="13.2" x14ac:dyDescent="0.25">
      <c r="B754" s="17"/>
      <c r="C754" s="17"/>
      <c r="D754" s="17"/>
      <c r="E754" s="17"/>
      <c r="F754" s="17"/>
      <c r="G754" s="17"/>
    </row>
    <row r="755" spans="2:7" ht="13.2" x14ac:dyDescent="0.25">
      <c r="B755" s="17"/>
      <c r="C755" s="17"/>
      <c r="D755" s="17"/>
      <c r="E755" s="17"/>
      <c r="F755" s="17"/>
      <c r="G755" s="17"/>
    </row>
    <row r="756" spans="2:7" ht="13.2" x14ac:dyDescent="0.25">
      <c r="B756" s="17"/>
      <c r="C756" s="17"/>
      <c r="D756" s="17"/>
      <c r="E756" s="17"/>
      <c r="F756" s="17"/>
      <c r="G756" s="17"/>
    </row>
    <row r="757" spans="2:7" ht="13.2" x14ac:dyDescent="0.25">
      <c r="B757" s="17"/>
      <c r="C757" s="17"/>
      <c r="D757" s="17"/>
      <c r="E757" s="17"/>
      <c r="F757" s="17"/>
      <c r="G757" s="17"/>
    </row>
    <row r="758" spans="2:7" ht="13.2" x14ac:dyDescent="0.25">
      <c r="B758" s="17"/>
      <c r="C758" s="17"/>
      <c r="D758" s="17"/>
      <c r="E758" s="17"/>
      <c r="F758" s="17"/>
      <c r="G758" s="17"/>
    </row>
    <row r="759" spans="2:7" ht="13.2" x14ac:dyDescent="0.25">
      <c r="B759" s="17"/>
      <c r="C759" s="17"/>
      <c r="D759" s="17"/>
      <c r="E759" s="17"/>
      <c r="F759" s="17"/>
      <c r="G759" s="17"/>
    </row>
    <row r="760" spans="2:7" ht="13.2" x14ac:dyDescent="0.25">
      <c r="B760" s="17"/>
      <c r="C760" s="17"/>
      <c r="D760" s="17"/>
      <c r="E760" s="17"/>
      <c r="F760" s="17"/>
      <c r="G760" s="17"/>
    </row>
    <row r="761" spans="2:7" ht="13.2" x14ac:dyDescent="0.25">
      <c r="B761" s="17"/>
      <c r="C761" s="17"/>
      <c r="D761" s="17"/>
      <c r="E761" s="17"/>
      <c r="F761" s="17"/>
      <c r="G761" s="17"/>
    </row>
    <row r="762" spans="2:7" ht="13.2" x14ac:dyDescent="0.25">
      <c r="B762" s="17"/>
      <c r="C762" s="17"/>
      <c r="D762" s="17"/>
      <c r="E762" s="17"/>
      <c r="F762" s="17"/>
      <c r="G762" s="17"/>
    </row>
    <row r="763" spans="2:7" ht="13.2" x14ac:dyDescent="0.25">
      <c r="B763" s="17"/>
      <c r="C763" s="17"/>
      <c r="D763" s="17"/>
      <c r="E763" s="17"/>
      <c r="F763" s="17"/>
      <c r="G763" s="17"/>
    </row>
    <row r="764" spans="2:7" ht="13.2" x14ac:dyDescent="0.25">
      <c r="B764" s="17"/>
      <c r="C764" s="17"/>
      <c r="D764" s="17"/>
      <c r="E764" s="17"/>
      <c r="F764" s="17"/>
      <c r="G764" s="17"/>
    </row>
    <row r="765" spans="2:7" ht="13.2" x14ac:dyDescent="0.25">
      <c r="B765" s="17"/>
      <c r="C765" s="17"/>
      <c r="D765" s="17"/>
      <c r="E765" s="17"/>
      <c r="F765" s="17"/>
      <c r="G765" s="17"/>
    </row>
    <row r="766" spans="2:7" ht="13.2" x14ac:dyDescent="0.25">
      <c r="B766" s="17"/>
      <c r="C766" s="17"/>
      <c r="D766" s="17"/>
      <c r="E766" s="17"/>
      <c r="F766" s="17"/>
      <c r="G766" s="17"/>
    </row>
    <row r="767" spans="2:7" ht="13.2" x14ac:dyDescent="0.25">
      <c r="B767" s="17"/>
      <c r="C767" s="17"/>
      <c r="D767" s="17"/>
      <c r="E767" s="17"/>
      <c r="F767" s="17"/>
      <c r="G767" s="17"/>
    </row>
    <row r="768" spans="2:7" ht="13.2" x14ac:dyDescent="0.25">
      <c r="B768" s="17"/>
      <c r="C768" s="17"/>
      <c r="D768" s="17"/>
      <c r="E768" s="17"/>
      <c r="F768" s="17"/>
      <c r="G768" s="17"/>
    </row>
    <row r="769" spans="2:7" ht="13.2" x14ac:dyDescent="0.25">
      <c r="B769" s="17"/>
      <c r="C769" s="17"/>
      <c r="D769" s="17"/>
      <c r="E769" s="17"/>
      <c r="F769" s="17"/>
      <c r="G769" s="17"/>
    </row>
    <row r="770" spans="2:7" ht="13.2" x14ac:dyDescent="0.25">
      <c r="B770" s="17"/>
      <c r="C770" s="17"/>
      <c r="D770" s="17"/>
      <c r="E770" s="17"/>
      <c r="F770" s="17"/>
      <c r="G770" s="17"/>
    </row>
    <row r="771" spans="2:7" ht="13.2" x14ac:dyDescent="0.25">
      <c r="B771" s="17"/>
      <c r="C771" s="17"/>
      <c r="D771" s="17"/>
      <c r="E771" s="17"/>
      <c r="F771" s="17"/>
      <c r="G771" s="17"/>
    </row>
    <row r="772" spans="2:7" ht="13.2" x14ac:dyDescent="0.25">
      <c r="B772" s="17"/>
      <c r="C772" s="17"/>
      <c r="D772" s="17"/>
      <c r="E772" s="17"/>
      <c r="F772" s="17"/>
      <c r="G772" s="17"/>
    </row>
    <row r="773" spans="2:7" ht="13.2" x14ac:dyDescent="0.25">
      <c r="B773" s="17"/>
      <c r="C773" s="17"/>
      <c r="D773" s="17"/>
      <c r="E773" s="17"/>
      <c r="F773" s="17"/>
      <c r="G773" s="17"/>
    </row>
    <row r="774" spans="2:7" ht="13.2" x14ac:dyDescent="0.25">
      <c r="B774" s="17"/>
      <c r="C774" s="17"/>
      <c r="D774" s="17"/>
      <c r="E774" s="17"/>
      <c r="F774" s="17"/>
      <c r="G774" s="17"/>
    </row>
    <row r="775" spans="2:7" ht="13.2" x14ac:dyDescent="0.25">
      <c r="B775" s="17"/>
      <c r="C775" s="17"/>
      <c r="D775" s="17"/>
      <c r="E775" s="17"/>
      <c r="F775" s="17"/>
      <c r="G775" s="17"/>
    </row>
    <row r="776" spans="2:7" ht="13.2" x14ac:dyDescent="0.25">
      <c r="B776" s="17"/>
      <c r="C776" s="17"/>
      <c r="D776" s="17"/>
      <c r="E776" s="17"/>
      <c r="F776" s="17"/>
      <c r="G776" s="17"/>
    </row>
    <row r="777" spans="2:7" ht="13.2" x14ac:dyDescent="0.25">
      <c r="B777" s="17"/>
      <c r="C777" s="17"/>
      <c r="D777" s="17"/>
      <c r="E777" s="17"/>
      <c r="F777" s="17"/>
      <c r="G777" s="17"/>
    </row>
    <row r="778" spans="2:7" ht="13.2" x14ac:dyDescent="0.25">
      <c r="B778" s="17"/>
      <c r="C778" s="17"/>
      <c r="D778" s="17"/>
      <c r="E778" s="17"/>
      <c r="F778" s="17"/>
      <c r="G778" s="17"/>
    </row>
    <row r="779" spans="2:7" ht="13.2" x14ac:dyDescent="0.25">
      <c r="B779" s="17"/>
      <c r="C779" s="17"/>
      <c r="D779" s="17"/>
      <c r="E779" s="17"/>
      <c r="F779" s="17"/>
      <c r="G779" s="17"/>
    </row>
    <row r="780" spans="2:7" ht="13.2" x14ac:dyDescent="0.25">
      <c r="B780" s="17"/>
      <c r="C780" s="17"/>
      <c r="D780" s="17"/>
      <c r="E780" s="17"/>
      <c r="F780" s="17"/>
      <c r="G780" s="17"/>
    </row>
    <row r="781" spans="2:7" ht="13.2" x14ac:dyDescent="0.25">
      <c r="B781" s="17"/>
      <c r="C781" s="17"/>
      <c r="D781" s="17"/>
      <c r="E781" s="17"/>
      <c r="F781" s="17"/>
      <c r="G781" s="17"/>
    </row>
    <row r="782" spans="2:7" ht="13.2" x14ac:dyDescent="0.25">
      <c r="B782" s="17"/>
      <c r="C782" s="17"/>
      <c r="D782" s="17"/>
      <c r="E782" s="17"/>
      <c r="F782" s="17"/>
      <c r="G782" s="17"/>
    </row>
    <row r="783" spans="2:7" ht="13.2" x14ac:dyDescent="0.25">
      <c r="B783" s="17"/>
      <c r="C783" s="17"/>
      <c r="D783" s="17"/>
      <c r="E783" s="17"/>
      <c r="F783" s="17"/>
      <c r="G783" s="17"/>
    </row>
    <row r="784" spans="2:7" ht="13.2" x14ac:dyDescent="0.25">
      <c r="B784" s="17"/>
      <c r="C784" s="17"/>
      <c r="D784" s="17"/>
      <c r="E784" s="17"/>
      <c r="F784" s="17"/>
      <c r="G784" s="17"/>
    </row>
    <row r="785" spans="2:7" ht="13.2" x14ac:dyDescent="0.25">
      <c r="B785" s="17"/>
      <c r="C785" s="17"/>
      <c r="D785" s="17"/>
      <c r="E785" s="17"/>
      <c r="F785" s="17"/>
      <c r="G785" s="17"/>
    </row>
    <row r="786" spans="2:7" ht="13.2" x14ac:dyDescent="0.25">
      <c r="B786" s="17"/>
      <c r="C786" s="17"/>
      <c r="D786" s="17"/>
      <c r="E786" s="17"/>
      <c r="F786" s="17"/>
      <c r="G786" s="17"/>
    </row>
    <row r="787" spans="2:7" ht="13.2" x14ac:dyDescent="0.25">
      <c r="B787" s="17"/>
      <c r="C787" s="17"/>
      <c r="D787" s="17"/>
      <c r="E787" s="17"/>
      <c r="F787" s="17"/>
      <c r="G787" s="17"/>
    </row>
    <row r="788" spans="2:7" ht="13.2" x14ac:dyDescent="0.25">
      <c r="B788" s="17"/>
      <c r="C788" s="17"/>
      <c r="D788" s="17"/>
      <c r="E788" s="17"/>
      <c r="F788" s="17"/>
      <c r="G788" s="17"/>
    </row>
    <row r="789" spans="2:7" ht="13.2" x14ac:dyDescent="0.25">
      <c r="B789" s="17"/>
      <c r="C789" s="17"/>
      <c r="D789" s="17"/>
      <c r="E789" s="17"/>
      <c r="F789" s="17"/>
      <c r="G789" s="17"/>
    </row>
    <row r="790" spans="2:7" ht="13.2" x14ac:dyDescent="0.25">
      <c r="B790" s="17"/>
      <c r="C790" s="17"/>
      <c r="D790" s="17"/>
      <c r="E790" s="17"/>
      <c r="F790" s="17"/>
      <c r="G790" s="17"/>
    </row>
    <row r="791" spans="2:7" ht="13.2" x14ac:dyDescent="0.25">
      <c r="B791" s="17"/>
      <c r="C791" s="17"/>
      <c r="D791" s="17"/>
      <c r="E791" s="17"/>
      <c r="F791" s="17"/>
      <c r="G791" s="17"/>
    </row>
    <row r="792" spans="2:7" ht="13.2" x14ac:dyDescent="0.25">
      <c r="B792" s="17"/>
      <c r="C792" s="17"/>
      <c r="D792" s="17"/>
      <c r="E792" s="17"/>
      <c r="F792" s="17"/>
      <c r="G792" s="17"/>
    </row>
    <row r="793" spans="2:7" ht="13.2" x14ac:dyDescent="0.25">
      <c r="B793" s="17"/>
      <c r="C793" s="17"/>
      <c r="D793" s="17"/>
      <c r="E793" s="17"/>
      <c r="F793" s="17"/>
      <c r="G793" s="17"/>
    </row>
    <row r="794" spans="2:7" ht="13.2" x14ac:dyDescent="0.25">
      <c r="B794" s="17"/>
      <c r="C794" s="17"/>
      <c r="D794" s="17"/>
      <c r="E794" s="17"/>
      <c r="F794" s="17"/>
      <c r="G794" s="17"/>
    </row>
    <row r="795" spans="2:7" ht="13.2" x14ac:dyDescent="0.25">
      <c r="B795" s="17"/>
      <c r="C795" s="17"/>
      <c r="D795" s="17"/>
      <c r="E795" s="17"/>
      <c r="F795" s="17"/>
      <c r="G795" s="17"/>
    </row>
    <row r="796" spans="2:7" ht="13.2" x14ac:dyDescent="0.25">
      <c r="B796" s="17"/>
      <c r="C796" s="17"/>
      <c r="D796" s="17"/>
      <c r="E796" s="17"/>
      <c r="F796" s="17"/>
      <c r="G796" s="17"/>
    </row>
    <row r="797" spans="2:7" ht="13.2" x14ac:dyDescent="0.25">
      <c r="B797" s="17"/>
      <c r="C797" s="17"/>
      <c r="D797" s="17"/>
      <c r="E797" s="17"/>
      <c r="F797" s="17"/>
      <c r="G797" s="17"/>
    </row>
    <row r="798" spans="2:7" ht="13.2" x14ac:dyDescent="0.25">
      <c r="B798" s="17"/>
      <c r="C798" s="17"/>
      <c r="D798" s="17"/>
      <c r="E798" s="17"/>
      <c r="F798" s="17"/>
      <c r="G798" s="17"/>
    </row>
    <row r="799" spans="2:7" ht="13.2" x14ac:dyDescent="0.25">
      <c r="B799" s="17"/>
      <c r="C799" s="17"/>
      <c r="D799" s="17"/>
      <c r="E799" s="17"/>
      <c r="F799" s="17"/>
      <c r="G799" s="17"/>
    </row>
    <row r="800" spans="2:7" ht="13.2" x14ac:dyDescent="0.25">
      <c r="B800" s="17"/>
      <c r="C800" s="17"/>
      <c r="D800" s="17"/>
      <c r="E800" s="17"/>
      <c r="F800" s="17"/>
      <c r="G800" s="17"/>
    </row>
    <row r="801" spans="2:7" ht="13.2" x14ac:dyDescent="0.25">
      <c r="B801" s="17"/>
      <c r="C801" s="17"/>
      <c r="D801" s="17"/>
      <c r="E801" s="17"/>
      <c r="F801" s="17"/>
      <c r="G801" s="17"/>
    </row>
    <row r="802" spans="2:7" ht="13.2" x14ac:dyDescent="0.25">
      <c r="B802" s="17"/>
      <c r="C802" s="17"/>
      <c r="D802" s="17"/>
      <c r="E802" s="17"/>
      <c r="F802" s="17"/>
      <c r="G802" s="17"/>
    </row>
    <row r="803" spans="2:7" ht="13.2" x14ac:dyDescent="0.25">
      <c r="B803" s="17"/>
      <c r="C803" s="17"/>
      <c r="D803" s="17"/>
      <c r="E803" s="17"/>
      <c r="F803" s="17"/>
      <c r="G803" s="17"/>
    </row>
    <row r="804" spans="2:7" ht="13.2" x14ac:dyDescent="0.25">
      <c r="B804" s="17"/>
      <c r="C804" s="17"/>
      <c r="D804" s="17"/>
      <c r="E804" s="17"/>
      <c r="F804" s="17"/>
      <c r="G804" s="17"/>
    </row>
    <row r="805" spans="2:7" ht="13.2" x14ac:dyDescent="0.25">
      <c r="B805" s="17"/>
      <c r="C805" s="17"/>
      <c r="D805" s="17"/>
      <c r="E805" s="17"/>
      <c r="F805" s="17"/>
      <c r="G805" s="17"/>
    </row>
    <row r="806" spans="2:7" ht="13.2" x14ac:dyDescent="0.25">
      <c r="B806" s="17"/>
      <c r="C806" s="17"/>
      <c r="D806" s="17"/>
      <c r="E806" s="17"/>
      <c r="F806" s="17"/>
      <c r="G806" s="17"/>
    </row>
    <row r="807" spans="2:7" ht="13.2" x14ac:dyDescent="0.25">
      <c r="B807" s="17"/>
      <c r="C807" s="17"/>
      <c r="D807" s="17"/>
      <c r="E807" s="17"/>
      <c r="F807" s="17"/>
      <c r="G807" s="17"/>
    </row>
    <row r="808" spans="2:7" ht="13.2" x14ac:dyDescent="0.25">
      <c r="B808" s="17"/>
      <c r="C808" s="17"/>
      <c r="D808" s="17"/>
      <c r="E808" s="17"/>
      <c r="F808" s="17"/>
      <c r="G808" s="17"/>
    </row>
    <row r="809" spans="2:7" ht="13.2" x14ac:dyDescent="0.25">
      <c r="B809" s="17"/>
      <c r="C809" s="17"/>
      <c r="D809" s="17"/>
      <c r="E809" s="17"/>
      <c r="F809" s="17"/>
      <c r="G809" s="17"/>
    </row>
    <row r="810" spans="2:7" ht="13.2" x14ac:dyDescent="0.25">
      <c r="B810" s="17"/>
      <c r="C810" s="17"/>
      <c r="D810" s="17"/>
      <c r="E810" s="17"/>
      <c r="F810" s="17"/>
      <c r="G810" s="17"/>
    </row>
    <row r="811" spans="2:7" ht="13.2" x14ac:dyDescent="0.25">
      <c r="B811" s="17"/>
      <c r="C811" s="17"/>
      <c r="D811" s="17"/>
      <c r="E811" s="17"/>
      <c r="F811" s="17"/>
      <c r="G811" s="17"/>
    </row>
    <row r="812" spans="2:7" ht="13.2" x14ac:dyDescent="0.25">
      <c r="B812" s="17"/>
      <c r="C812" s="17"/>
      <c r="D812" s="17"/>
      <c r="E812" s="17"/>
      <c r="F812" s="17"/>
      <c r="G812" s="17"/>
    </row>
    <row r="813" spans="2:7" ht="13.2" x14ac:dyDescent="0.25">
      <c r="B813" s="17"/>
      <c r="C813" s="17"/>
      <c r="D813" s="17"/>
      <c r="E813" s="17"/>
      <c r="F813" s="17"/>
      <c r="G813" s="17"/>
    </row>
    <row r="814" spans="2:7" ht="13.2" x14ac:dyDescent="0.25">
      <c r="B814" s="17"/>
      <c r="C814" s="17"/>
      <c r="D814" s="17"/>
      <c r="E814" s="17"/>
      <c r="F814" s="17"/>
      <c r="G814" s="17"/>
    </row>
    <row r="815" spans="2:7" ht="13.2" x14ac:dyDescent="0.25">
      <c r="B815" s="17"/>
      <c r="C815" s="17"/>
      <c r="D815" s="17"/>
      <c r="E815" s="17"/>
      <c r="F815" s="17"/>
      <c r="G815" s="17"/>
    </row>
    <row r="816" spans="2:7" ht="13.2" x14ac:dyDescent="0.25">
      <c r="B816" s="17"/>
      <c r="C816" s="17"/>
      <c r="D816" s="17"/>
      <c r="E816" s="17"/>
      <c r="F816" s="17"/>
      <c r="G816" s="17"/>
    </row>
    <row r="817" spans="2:7" ht="13.2" x14ac:dyDescent="0.25">
      <c r="B817" s="17"/>
      <c r="C817" s="17"/>
      <c r="D817" s="17"/>
      <c r="E817" s="17"/>
      <c r="F817" s="17"/>
      <c r="G817" s="17"/>
    </row>
    <row r="818" spans="2:7" ht="13.2" x14ac:dyDescent="0.25">
      <c r="B818" s="17"/>
      <c r="C818" s="17"/>
      <c r="D818" s="17"/>
      <c r="E818" s="17"/>
      <c r="F818" s="17"/>
      <c r="G818" s="17"/>
    </row>
    <row r="819" spans="2:7" ht="13.2" x14ac:dyDescent="0.25">
      <c r="B819" s="17"/>
      <c r="C819" s="17"/>
      <c r="D819" s="17"/>
      <c r="E819" s="17"/>
      <c r="F819" s="17"/>
      <c r="G819" s="17"/>
    </row>
    <row r="820" spans="2:7" ht="13.2" x14ac:dyDescent="0.25">
      <c r="B820" s="17"/>
      <c r="C820" s="17"/>
      <c r="D820" s="17"/>
      <c r="E820" s="17"/>
      <c r="F820" s="17"/>
      <c r="G820" s="17"/>
    </row>
    <row r="821" spans="2:7" ht="13.2" x14ac:dyDescent="0.25">
      <c r="B821" s="17"/>
      <c r="C821" s="17"/>
      <c r="D821" s="17"/>
      <c r="E821" s="17"/>
      <c r="F821" s="17"/>
      <c r="G821" s="17"/>
    </row>
    <row r="822" spans="2:7" ht="13.2" x14ac:dyDescent="0.25">
      <c r="B822" s="17"/>
      <c r="C822" s="17"/>
      <c r="D822" s="17"/>
      <c r="E822" s="17"/>
      <c r="F822" s="17"/>
      <c r="G822" s="17"/>
    </row>
    <row r="823" spans="2:7" ht="13.2" x14ac:dyDescent="0.25">
      <c r="B823" s="17"/>
      <c r="C823" s="17"/>
      <c r="D823" s="17"/>
      <c r="E823" s="17"/>
      <c r="F823" s="17"/>
      <c r="G823" s="17"/>
    </row>
    <row r="824" spans="2:7" ht="13.2" x14ac:dyDescent="0.25">
      <c r="B824" s="17"/>
      <c r="C824" s="17"/>
      <c r="D824" s="17"/>
      <c r="E824" s="17"/>
      <c r="F824" s="17"/>
      <c r="G824" s="17"/>
    </row>
    <row r="825" spans="2:7" ht="13.2" x14ac:dyDescent="0.25">
      <c r="B825" s="17"/>
      <c r="C825" s="17"/>
      <c r="D825" s="17"/>
      <c r="E825" s="17"/>
      <c r="F825" s="17"/>
      <c r="G825" s="17"/>
    </row>
    <row r="826" spans="2:7" ht="13.2" x14ac:dyDescent="0.25">
      <c r="B826" s="17"/>
      <c r="C826" s="17"/>
      <c r="D826" s="17"/>
      <c r="E826" s="17"/>
      <c r="F826" s="17"/>
      <c r="G826" s="17"/>
    </row>
    <row r="827" spans="2:7" ht="13.2" x14ac:dyDescent="0.25">
      <c r="B827" s="17"/>
      <c r="C827" s="17"/>
      <c r="D827" s="17"/>
      <c r="E827" s="17"/>
      <c r="F827" s="17"/>
      <c r="G827" s="17"/>
    </row>
    <row r="828" spans="2:7" ht="13.2" x14ac:dyDescent="0.25">
      <c r="B828" s="17"/>
      <c r="C828" s="17"/>
      <c r="D828" s="17"/>
      <c r="E828" s="17"/>
      <c r="F828" s="17"/>
      <c r="G828" s="17"/>
    </row>
    <row r="829" spans="2:7" ht="13.2" x14ac:dyDescent="0.25">
      <c r="B829" s="17"/>
      <c r="C829" s="17"/>
      <c r="D829" s="17"/>
      <c r="E829" s="17"/>
      <c r="F829" s="17"/>
      <c r="G829" s="17"/>
    </row>
    <row r="830" spans="2:7" ht="13.2" x14ac:dyDescent="0.25">
      <c r="B830" s="17"/>
      <c r="C830" s="17"/>
      <c r="D830" s="17"/>
      <c r="E830" s="17"/>
      <c r="F830" s="17"/>
      <c r="G830" s="17"/>
    </row>
    <row r="831" spans="2:7" ht="13.2" x14ac:dyDescent="0.25">
      <c r="B831" s="17"/>
      <c r="C831" s="17"/>
      <c r="D831" s="17"/>
      <c r="E831" s="17"/>
      <c r="F831" s="17"/>
      <c r="G831" s="17"/>
    </row>
    <row r="832" spans="2:7" ht="13.2" x14ac:dyDescent="0.25">
      <c r="B832" s="17"/>
      <c r="C832" s="17"/>
      <c r="D832" s="17"/>
      <c r="E832" s="17"/>
      <c r="F832" s="17"/>
      <c r="G832" s="17"/>
    </row>
    <row r="833" spans="2:7" ht="13.2" x14ac:dyDescent="0.25">
      <c r="B833" s="17"/>
      <c r="C833" s="17"/>
      <c r="D833" s="17"/>
      <c r="E833" s="17"/>
      <c r="F833" s="17"/>
      <c r="G833" s="17"/>
    </row>
    <row r="834" spans="2:7" ht="13.2" x14ac:dyDescent="0.25">
      <c r="B834" s="17"/>
      <c r="C834" s="17"/>
      <c r="D834" s="17"/>
      <c r="E834" s="17"/>
      <c r="F834" s="17"/>
      <c r="G834" s="17"/>
    </row>
    <row r="835" spans="2:7" ht="13.2" x14ac:dyDescent="0.25">
      <c r="B835" s="17"/>
      <c r="C835" s="17"/>
      <c r="D835" s="17"/>
      <c r="E835" s="17"/>
      <c r="F835" s="17"/>
      <c r="G835" s="17"/>
    </row>
    <row r="836" spans="2:7" ht="13.2" x14ac:dyDescent="0.25">
      <c r="B836" s="17"/>
      <c r="C836" s="17"/>
      <c r="D836" s="17"/>
      <c r="E836" s="17"/>
      <c r="F836" s="17"/>
      <c r="G836" s="17"/>
    </row>
    <row r="837" spans="2:7" ht="13.2" x14ac:dyDescent="0.25">
      <c r="B837" s="17"/>
      <c r="C837" s="17"/>
      <c r="D837" s="17"/>
      <c r="E837" s="17"/>
      <c r="F837" s="17"/>
      <c r="G837" s="17"/>
    </row>
    <row r="838" spans="2:7" ht="13.2" x14ac:dyDescent="0.25">
      <c r="B838" s="17"/>
      <c r="C838" s="17"/>
      <c r="D838" s="17"/>
      <c r="E838" s="17"/>
      <c r="F838" s="17"/>
      <c r="G838" s="17"/>
    </row>
    <row r="839" spans="2:7" ht="13.2" x14ac:dyDescent="0.25">
      <c r="B839" s="17"/>
      <c r="C839" s="17"/>
      <c r="D839" s="17"/>
      <c r="E839" s="17"/>
      <c r="F839" s="17"/>
      <c r="G839" s="17"/>
    </row>
    <row r="840" spans="2:7" ht="13.2" x14ac:dyDescent="0.25">
      <c r="B840" s="17"/>
      <c r="C840" s="17"/>
      <c r="D840" s="17"/>
      <c r="E840" s="17"/>
      <c r="F840" s="17"/>
      <c r="G840" s="17"/>
    </row>
    <row r="841" spans="2:7" ht="13.2" x14ac:dyDescent="0.25">
      <c r="B841" s="17"/>
      <c r="C841" s="17"/>
      <c r="D841" s="17"/>
      <c r="E841" s="17"/>
      <c r="F841" s="17"/>
      <c r="G841" s="17"/>
    </row>
    <row r="842" spans="2:7" ht="13.2" x14ac:dyDescent="0.25">
      <c r="B842" s="17"/>
      <c r="C842" s="17"/>
      <c r="D842" s="17"/>
      <c r="E842" s="17"/>
      <c r="F842" s="17"/>
      <c r="G842" s="17"/>
    </row>
    <row r="843" spans="2:7" ht="13.2" x14ac:dyDescent="0.25">
      <c r="B843" s="17"/>
      <c r="C843" s="17"/>
      <c r="D843" s="17"/>
      <c r="E843" s="17"/>
      <c r="F843" s="17"/>
      <c r="G843" s="17"/>
    </row>
    <row r="844" spans="2:7" ht="13.2" x14ac:dyDescent="0.25">
      <c r="B844" s="17"/>
      <c r="C844" s="17"/>
      <c r="D844" s="17"/>
      <c r="E844" s="17"/>
      <c r="F844" s="17"/>
      <c r="G844" s="17"/>
    </row>
    <row r="845" spans="2:7" ht="13.2" x14ac:dyDescent="0.25">
      <c r="B845" s="17"/>
      <c r="C845" s="17"/>
      <c r="D845" s="17"/>
      <c r="E845" s="17"/>
      <c r="F845" s="17"/>
      <c r="G845" s="17"/>
    </row>
    <row r="846" spans="2:7" ht="13.2" x14ac:dyDescent="0.25">
      <c r="B846" s="17"/>
      <c r="C846" s="17"/>
      <c r="D846" s="17"/>
      <c r="E846" s="17"/>
      <c r="F846" s="17"/>
      <c r="G846" s="17"/>
    </row>
    <row r="847" spans="2:7" ht="13.2" x14ac:dyDescent="0.25">
      <c r="B847" s="17"/>
      <c r="C847" s="17"/>
      <c r="D847" s="17"/>
      <c r="E847" s="17"/>
      <c r="F847" s="17"/>
      <c r="G847" s="17"/>
    </row>
    <row r="848" spans="2:7" ht="13.2" x14ac:dyDescent="0.25">
      <c r="B848" s="17"/>
      <c r="C848" s="17"/>
      <c r="D848" s="17"/>
      <c r="E848" s="17"/>
      <c r="F848" s="17"/>
      <c r="G848" s="17"/>
    </row>
    <row r="849" spans="2:7" ht="13.2" x14ac:dyDescent="0.25">
      <c r="B849" s="17"/>
      <c r="C849" s="17"/>
      <c r="D849" s="17"/>
      <c r="E849" s="17"/>
      <c r="F849" s="17"/>
      <c r="G849" s="17"/>
    </row>
    <row r="850" spans="2:7" ht="13.2" x14ac:dyDescent="0.25">
      <c r="B850" s="17"/>
      <c r="C850" s="17"/>
      <c r="D850" s="17"/>
      <c r="E850" s="17"/>
      <c r="F850" s="17"/>
      <c r="G850" s="17"/>
    </row>
    <row r="851" spans="2:7" ht="13.2" x14ac:dyDescent="0.25">
      <c r="B851" s="17"/>
      <c r="C851" s="17"/>
      <c r="D851" s="17"/>
      <c r="E851" s="17"/>
      <c r="F851" s="17"/>
      <c r="G851" s="17"/>
    </row>
    <row r="852" spans="2:7" ht="13.2" x14ac:dyDescent="0.25">
      <c r="B852" s="17"/>
      <c r="C852" s="17"/>
      <c r="D852" s="17"/>
      <c r="E852" s="17"/>
      <c r="F852" s="17"/>
      <c r="G852" s="17"/>
    </row>
    <row r="853" spans="2:7" ht="13.2" x14ac:dyDescent="0.25">
      <c r="B853" s="17"/>
      <c r="C853" s="17"/>
      <c r="D853" s="17"/>
      <c r="E853" s="17"/>
      <c r="F853" s="17"/>
      <c r="G853" s="17"/>
    </row>
    <row r="854" spans="2:7" ht="13.2" x14ac:dyDescent="0.25">
      <c r="B854" s="17"/>
      <c r="C854" s="17"/>
      <c r="D854" s="17"/>
      <c r="E854" s="17"/>
      <c r="F854" s="17"/>
      <c r="G854" s="17"/>
    </row>
    <row r="855" spans="2:7" ht="13.2" x14ac:dyDescent="0.25">
      <c r="B855" s="17"/>
      <c r="C855" s="17"/>
      <c r="D855" s="17"/>
      <c r="E855" s="17"/>
      <c r="F855" s="17"/>
      <c r="G855" s="17"/>
    </row>
    <row r="856" spans="2:7" ht="13.2" x14ac:dyDescent="0.25">
      <c r="B856" s="17"/>
      <c r="C856" s="17"/>
      <c r="D856" s="17"/>
      <c r="E856" s="17"/>
      <c r="F856" s="17"/>
      <c r="G856" s="17"/>
    </row>
    <row r="857" spans="2:7" ht="13.2" x14ac:dyDescent="0.25">
      <c r="B857" s="17"/>
      <c r="C857" s="17"/>
      <c r="D857" s="17"/>
      <c r="E857" s="17"/>
      <c r="F857" s="17"/>
      <c r="G857" s="17"/>
    </row>
    <row r="858" spans="2:7" ht="13.2" x14ac:dyDescent="0.25">
      <c r="B858" s="17"/>
      <c r="C858" s="17"/>
      <c r="D858" s="17"/>
      <c r="E858" s="17"/>
      <c r="F858" s="17"/>
      <c r="G858" s="17"/>
    </row>
    <row r="859" spans="2:7" ht="13.2" x14ac:dyDescent="0.25">
      <c r="B859" s="17"/>
      <c r="C859" s="17"/>
      <c r="D859" s="17"/>
      <c r="E859" s="17"/>
      <c r="F859" s="17"/>
      <c r="G859" s="17"/>
    </row>
    <row r="860" spans="2:7" ht="13.2" x14ac:dyDescent="0.25">
      <c r="B860" s="17"/>
      <c r="C860" s="17"/>
      <c r="D860" s="17"/>
      <c r="E860" s="17"/>
      <c r="F860" s="17"/>
      <c r="G860" s="17"/>
    </row>
    <row r="861" spans="2:7" ht="13.2" x14ac:dyDescent="0.25">
      <c r="B861" s="17"/>
      <c r="C861" s="17"/>
      <c r="D861" s="17"/>
      <c r="E861" s="17"/>
      <c r="F861" s="17"/>
      <c r="G861" s="17"/>
    </row>
    <row r="862" spans="2:7" ht="13.2" x14ac:dyDescent="0.25">
      <c r="B862" s="17"/>
      <c r="C862" s="17"/>
      <c r="D862" s="17"/>
      <c r="E862" s="17"/>
      <c r="F862" s="17"/>
      <c r="G862" s="17"/>
    </row>
    <row r="863" spans="2:7" ht="13.2" x14ac:dyDescent="0.25">
      <c r="B863" s="17"/>
      <c r="C863" s="17"/>
      <c r="D863" s="17"/>
      <c r="E863" s="17"/>
      <c r="F863" s="17"/>
      <c r="G863" s="17"/>
    </row>
    <row r="864" spans="2:7" ht="13.2" x14ac:dyDescent="0.25">
      <c r="B864" s="17"/>
      <c r="C864" s="17"/>
      <c r="D864" s="17"/>
      <c r="E864" s="17"/>
      <c r="F864" s="17"/>
      <c r="G864" s="17"/>
    </row>
    <row r="865" spans="2:7" ht="13.2" x14ac:dyDescent="0.25">
      <c r="B865" s="17"/>
      <c r="C865" s="17"/>
      <c r="D865" s="17"/>
      <c r="E865" s="17"/>
      <c r="F865" s="17"/>
      <c r="G865" s="17"/>
    </row>
    <row r="866" spans="2:7" ht="13.2" x14ac:dyDescent="0.25">
      <c r="B866" s="17"/>
      <c r="C866" s="17"/>
      <c r="D866" s="17"/>
      <c r="E866" s="17"/>
      <c r="F866" s="17"/>
      <c r="G866" s="17"/>
    </row>
    <row r="867" spans="2:7" ht="13.2" x14ac:dyDescent="0.25">
      <c r="B867" s="17"/>
      <c r="C867" s="17"/>
      <c r="D867" s="17"/>
      <c r="E867" s="17"/>
      <c r="F867" s="17"/>
      <c r="G867" s="17"/>
    </row>
    <row r="868" spans="2:7" ht="13.2" x14ac:dyDescent="0.25">
      <c r="B868" s="17"/>
      <c r="C868" s="17"/>
      <c r="D868" s="17"/>
      <c r="E868" s="17"/>
      <c r="F868" s="17"/>
      <c r="G868" s="17"/>
    </row>
    <row r="869" spans="2:7" ht="13.2" x14ac:dyDescent="0.25">
      <c r="B869" s="17"/>
      <c r="C869" s="17"/>
      <c r="D869" s="17"/>
      <c r="E869" s="17"/>
      <c r="F869" s="17"/>
      <c r="G869" s="17"/>
    </row>
    <row r="870" spans="2:7" ht="13.2" x14ac:dyDescent="0.25">
      <c r="B870" s="17"/>
      <c r="C870" s="17"/>
      <c r="D870" s="17"/>
      <c r="E870" s="17"/>
      <c r="F870" s="17"/>
      <c r="G870" s="17"/>
    </row>
    <row r="871" spans="2:7" ht="13.2" x14ac:dyDescent="0.25">
      <c r="B871" s="17"/>
      <c r="C871" s="17"/>
      <c r="D871" s="17"/>
      <c r="E871" s="17"/>
      <c r="F871" s="17"/>
      <c r="G871" s="17"/>
    </row>
    <row r="872" spans="2:7" ht="13.2" x14ac:dyDescent="0.25">
      <c r="B872" s="17"/>
      <c r="C872" s="17"/>
      <c r="D872" s="17"/>
      <c r="E872" s="17"/>
      <c r="F872" s="17"/>
      <c r="G872" s="17"/>
    </row>
    <row r="873" spans="2:7" ht="13.2" x14ac:dyDescent="0.25">
      <c r="B873" s="17"/>
      <c r="C873" s="17"/>
      <c r="D873" s="17"/>
      <c r="E873" s="17"/>
      <c r="F873" s="17"/>
      <c r="G873" s="17"/>
    </row>
    <row r="874" spans="2:7" ht="13.2" x14ac:dyDescent="0.25">
      <c r="B874" s="17"/>
      <c r="C874" s="17"/>
      <c r="D874" s="17"/>
      <c r="E874" s="17"/>
      <c r="F874" s="17"/>
      <c r="G874" s="17"/>
    </row>
    <row r="875" spans="2:7" ht="13.2" x14ac:dyDescent="0.25">
      <c r="B875" s="17"/>
      <c r="C875" s="17"/>
      <c r="D875" s="17"/>
      <c r="E875" s="17"/>
      <c r="F875" s="17"/>
      <c r="G875" s="17"/>
    </row>
    <row r="876" spans="2:7" ht="13.2" x14ac:dyDescent="0.25">
      <c r="B876" s="17"/>
      <c r="C876" s="17"/>
      <c r="D876" s="17"/>
      <c r="E876" s="17"/>
      <c r="F876" s="17"/>
      <c r="G876" s="17"/>
    </row>
    <row r="877" spans="2:7" ht="13.2" x14ac:dyDescent="0.25">
      <c r="B877" s="17"/>
      <c r="C877" s="17"/>
      <c r="D877" s="17"/>
      <c r="E877" s="17"/>
      <c r="F877" s="17"/>
      <c r="G877" s="17"/>
    </row>
    <row r="878" spans="2:7" ht="13.2" x14ac:dyDescent="0.25">
      <c r="B878" s="17"/>
      <c r="C878" s="17"/>
      <c r="D878" s="17"/>
      <c r="E878" s="17"/>
      <c r="F878" s="17"/>
      <c r="G878" s="17"/>
    </row>
    <row r="879" spans="2:7" ht="13.2" x14ac:dyDescent="0.25">
      <c r="B879" s="17"/>
      <c r="C879" s="17"/>
      <c r="D879" s="17"/>
      <c r="E879" s="17"/>
      <c r="F879" s="17"/>
      <c r="G879" s="17"/>
    </row>
    <row r="880" spans="2:7" ht="13.2" x14ac:dyDescent="0.25">
      <c r="B880" s="17"/>
      <c r="C880" s="17"/>
      <c r="D880" s="17"/>
      <c r="E880" s="17"/>
      <c r="F880" s="17"/>
      <c r="G880" s="17"/>
    </row>
    <row r="881" spans="2:7" ht="13.2" x14ac:dyDescent="0.25">
      <c r="B881" s="17"/>
      <c r="C881" s="17"/>
      <c r="D881" s="17"/>
      <c r="E881" s="17"/>
      <c r="F881" s="17"/>
      <c r="G881" s="17"/>
    </row>
    <row r="882" spans="2:7" ht="13.2" x14ac:dyDescent="0.25">
      <c r="B882" s="17"/>
      <c r="C882" s="17"/>
      <c r="D882" s="17"/>
      <c r="E882" s="17"/>
      <c r="F882" s="17"/>
      <c r="G882" s="17"/>
    </row>
    <row r="883" spans="2:7" ht="13.2" x14ac:dyDescent="0.25">
      <c r="B883" s="17"/>
      <c r="C883" s="17"/>
      <c r="D883" s="17"/>
      <c r="E883" s="17"/>
      <c r="F883" s="17"/>
      <c r="G883" s="17"/>
    </row>
    <row r="884" spans="2:7" ht="13.2" x14ac:dyDescent="0.25">
      <c r="B884" s="17"/>
      <c r="C884" s="17"/>
      <c r="D884" s="17"/>
      <c r="E884" s="17"/>
      <c r="F884" s="17"/>
      <c r="G884" s="17"/>
    </row>
    <row r="885" spans="2:7" ht="13.2" x14ac:dyDescent="0.25">
      <c r="B885" s="17"/>
      <c r="C885" s="17"/>
      <c r="D885" s="17"/>
      <c r="E885" s="17"/>
      <c r="F885" s="17"/>
      <c r="G885" s="17"/>
    </row>
    <row r="886" spans="2:7" ht="13.2" x14ac:dyDescent="0.25">
      <c r="B886" s="17"/>
      <c r="C886" s="17"/>
      <c r="D886" s="17"/>
      <c r="E886" s="17"/>
      <c r="F886" s="17"/>
      <c r="G886" s="17"/>
    </row>
    <row r="887" spans="2:7" ht="13.2" x14ac:dyDescent="0.25">
      <c r="B887" s="17"/>
      <c r="C887" s="17"/>
      <c r="D887" s="17"/>
      <c r="E887" s="17"/>
      <c r="F887" s="17"/>
      <c r="G887" s="17"/>
    </row>
    <row r="888" spans="2:7" ht="13.2" x14ac:dyDescent="0.25">
      <c r="B888" s="17"/>
      <c r="C888" s="17"/>
      <c r="D888" s="17"/>
      <c r="E888" s="17"/>
      <c r="F888" s="17"/>
      <c r="G888" s="17"/>
    </row>
    <row r="889" spans="2:7" ht="13.2" x14ac:dyDescent="0.25">
      <c r="B889" s="17"/>
      <c r="C889" s="17"/>
      <c r="D889" s="17"/>
      <c r="E889" s="17"/>
      <c r="F889" s="17"/>
      <c r="G889" s="17"/>
    </row>
    <row r="890" spans="2:7" ht="13.2" x14ac:dyDescent="0.25">
      <c r="B890" s="17"/>
      <c r="C890" s="17"/>
      <c r="D890" s="17"/>
      <c r="E890" s="17"/>
      <c r="F890" s="17"/>
      <c r="G890" s="17"/>
    </row>
    <row r="891" spans="2:7" ht="13.2" x14ac:dyDescent="0.25">
      <c r="B891" s="17"/>
      <c r="C891" s="17"/>
      <c r="D891" s="17"/>
      <c r="E891" s="17"/>
      <c r="F891" s="17"/>
      <c r="G891" s="17"/>
    </row>
    <row r="892" spans="2:7" ht="13.2" x14ac:dyDescent="0.25">
      <c r="B892" s="17"/>
      <c r="C892" s="17"/>
      <c r="D892" s="17"/>
      <c r="E892" s="17"/>
      <c r="F892" s="17"/>
      <c r="G892" s="17"/>
    </row>
    <row r="893" spans="2:7" ht="13.2" x14ac:dyDescent="0.25">
      <c r="B893" s="17"/>
      <c r="C893" s="17"/>
      <c r="D893" s="17"/>
      <c r="E893" s="17"/>
      <c r="F893" s="17"/>
      <c r="G893" s="17"/>
    </row>
    <row r="894" spans="2:7" ht="13.2" x14ac:dyDescent="0.25">
      <c r="B894" s="17"/>
      <c r="C894" s="17"/>
      <c r="D894" s="17"/>
      <c r="E894" s="17"/>
      <c r="F894" s="17"/>
      <c r="G894" s="17"/>
    </row>
    <row r="895" spans="2:7" ht="13.2" x14ac:dyDescent="0.25">
      <c r="B895" s="17"/>
      <c r="C895" s="17"/>
      <c r="D895" s="17"/>
      <c r="E895" s="17"/>
      <c r="F895" s="17"/>
      <c r="G895" s="17"/>
    </row>
    <row r="896" spans="2:7" ht="13.2" x14ac:dyDescent="0.25">
      <c r="B896" s="17"/>
      <c r="C896" s="17"/>
      <c r="D896" s="17"/>
      <c r="E896" s="17"/>
      <c r="F896" s="17"/>
      <c r="G896" s="17"/>
    </row>
    <row r="897" spans="2:7" ht="13.2" x14ac:dyDescent="0.25">
      <c r="B897" s="17"/>
      <c r="C897" s="17"/>
      <c r="D897" s="17"/>
      <c r="E897" s="17"/>
      <c r="F897" s="17"/>
      <c r="G897" s="17"/>
    </row>
    <row r="898" spans="2:7" ht="13.2" x14ac:dyDescent="0.25">
      <c r="B898" s="17"/>
      <c r="C898" s="17"/>
      <c r="D898" s="17"/>
      <c r="E898" s="17"/>
      <c r="F898" s="17"/>
      <c r="G898" s="17"/>
    </row>
    <row r="899" spans="2:7" ht="13.2" x14ac:dyDescent="0.25">
      <c r="B899" s="17"/>
      <c r="C899" s="17"/>
      <c r="D899" s="17"/>
      <c r="E899" s="17"/>
      <c r="F899" s="17"/>
      <c r="G899" s="17"/>
    </row>
    <row r="900" spans="2:7" ht="13.2" x14ac:dyDescent="0.25">
      <c r="B900" s="17"/>
      <c r="C900" s="17"/>
      <c r="D900" s="17"/>
      <c r="E900" s="17"/>
      <c r="F900" s="17"/>
      <c r="G900" s="17"/>
    </row>
    <row r="901" spans="2:7" ht="13.2" x14ac:dyDescent="0.25">
      <c r="B901" s="17"/>
      <c r="C901" s="17"/>
      <c r="D901" s="17"/>
      <c r="E901" s="17"/>
      <c r="F901" s="17"/>
      <c r="G901" s="17"/>
    </row>
    <row r="902" spans="2:7" ht="13.2" x14ac:dyDescent="0.25">
      <c r="B902" s="17"/>
      <c r="C902" s="17"/>
      <c r="D902" s="17"/>
      <c r="E902" s="17"/>
      <c r="F902" s="17"/>
      <c r="G902" s="17"/>
    </row>
    <row r="903" spans="2:7" ht="13.2" x14ac:dyDescent="0.25">
      <c r="B903" s="17"/>
      <c r="C903" s="17"/>
      <c r="D903" s="17"/>
      <c r="E903" s="17"/>
      <c r="F903" s="17"/>
      <c r="G903" s="17"/>
    </row>
    <row r="904" spans="2:7" ht="13.2" x14ac:dyDescent="0.25">
      <c r="B904" s="17"/>
      <c r="C904" s="17"/>
      <c r="D904" s="17"/>
      <c r="E904" s="17"/>
      <c r="F904" s="17"/>
      <c r="G904" s="17"/>
    </row>
    <row r="905" spans="2:7" ht="13.2" x14ac:dyDescent="0.25">
      <c r="B905" s="17"/>
      <c r="C905" s="17"/>
      <c r="D905" s="17"/>
      <c r="E905" s="17"/>
      <c r="F905" s="17"/>
      <c r="G905" s="17"/>
    </row>
    <row r="906" spans="2:7" ht="13.2" x14ac:dyDescent="0.25">
      <c r="B906" s="17"/>
      <c r="C906" s="17"/>
      <c r="D906" s="17"/>
      <c r="E906" s="17"/>
      <c r="F906" s="17"/>
      <c r="G906" s="17"/>
    </row>
    <row r="907" spans="2:7" ht="13.2" x14ac:dyDescent="0.25">
      <c r="B907" s="17"/>
      <c r="C907" s="17"/>
      <c r="D907" s="17"/>
      <c r="E907" s="17"/>
      <c r="F907" s="17"/>
      <c r="G907" s="17"/>
    </row>
    <row r="908" spans="2:7" ht="13.2" x14ac:dyDescent="0.25">
      <c r="B908" s="17"/>
      <c r="C908" s="17"/>
      <c r="D908" s="17"/>
      <c r="E908" s="17"/>
      <c r="F908" s="17"/>
      <c r="G908" s="17"/>
    </row>
    <row r="909" spans="2:7" ht="13.2" x14ac:dyDescent="0.25">
      <c r="B909" s="17"/>
      <c r="C909" s="17"/>
      <c r="D909" s="17"/>
      <c r="E909" s="17"/>
      <c r="F909" s="17"/>
      <c r="G909" s="17"/>
    </row>
    <row r="910" spans="2:7" ht="13.2" x14ac:dyDescent="0.25">
      <c r="B910" s="17"/>
      <c r="C910" s="17"/>
      <c r="D910" s="17"/>
      <c r="E910" s="17"/>
      <c r="F910" s="17"/>
      <c r="G910" s="17"/>
    </row>
    <row r="911" spans="2:7" ht="13.2" x14ac:dyDescent="0.25">
      <c r="B911" s="17"/>
      <c r="C911" s="17"/>
      <c r="D911" s="17"/>
      <c r="E911" s="17"/>
      <c r="F911" s="17"/>
      <c r="G911" s="17"/>
    </row>
    <row r="912" spans="2:7" ht="13.2" x14ac:dyDescent="0.25">
      <c r="B912" s="17"/>
      <c r="C912" s="17"/>
      <c r="D912" s="17"/>
      <c r="E912" s="17"/>
      <c r="F912" s="17"/>
      <c r="G912" s="17"/>
    </row>
    <row r="913" spans="2:7" ht="13.2" x14ac:dyDescent="0.25">
      <c r="B913" s="17"/>
      <c r="C913" s="17"/>
      <c r="D913" s="17"/>
      <c r="E913" s="17"/>
      <c r="F913" s="17"/>
      <c r="G913" s="17"/>
    </row>
    <row r="914" spans="2:7" ht="13.2" x14ac:dyDescent="0.25">
      <c r="B914" s="17"/>
      <c r="C914" s="17"/>
      <c r="D914" s="17"/>
      <c r="E914" s="17"/>
      <c r="F914" s="17"/>
      <c r="G914" s="17"/>
    </row>
    <row r="915" spans="2:7" ht="13.2" x14ac:dyDescent="0.25">
      <c r="B915" s="17"/>
      <c r="C915" s="17"/>
      <c r="D915" s="17"/>
      <c r="E915" s="17"/>
      <c r="F915" s="17"/>
      <c r="G915" s="17"/>
    </row>
    <row r="916" spans="2:7" ht="13.2" x14ac:dyDescent="0.25">
      <c r="B916" s="17"/>
      <c r="C916" s="17"/>
      <c r="D916" s="17"/>
      <c r="E916" s="17"/>
      <c r="F916" s="17"/>
      <c r="G916" s="17"/>
    </row>
    <row r="917" spans="2:7" ht="13.2" x14ac:dyDescent="0.25">
      <c r="B917" s="17"/>
      <c r="C917" s="17"/>
      <c r="D917" s="17"/>
      <c r="E917" s="17"/>
      <c r="F917" s="17"/>
      <c r="G917" s="17"/>
    </row>
    <row r="918" spans="2:7" ht="13.2" x14ac:dyDescent="0.25">
      <c r="B918" s="17"/>
      <c r="C918" s="17"/>
      <c r="D918" s="17"/>
      <c r="E918" s="17"/>
      <c r="F918" s="17"/>
      <c r="G918" s="17"/>
    </row>
    <row r="919" spans="2:7" ht="13.2" x14ac:dyDescent="0.25">
      <c r="B919" s="17"/>
      <c r="C919" s="17"/>
      <c r="D919" s="17"/>
      <c r="E919" s="17"/>
      <c r="F919" s="17"/>
      <c r="G919" s="17"/>
    </row>
    <row r="920" spans="2:7" ht="13.2" x14ac:dyDescent="0.25">
      <c r="B920" s="17"/>
      <c r="C920" s="17"/>
      <c r="D920" s="17"/>
      <c r="E920" s="17"/>
      <c r="F920" s="17"/>
      <c r="G920" s="17"/>
    </row>
    <row r="921" spans="2:7" ht="13.2" x14ac:dyDescent="0.25">
      <c r="B921" s="17"/>
      <c r="C921" s="17"/>
      <c r="D921" s="17"/>
      <c r="E921" s="17"/>
      <c r="F921" s="17"/>
      <c r="G921" s="17"/>
    </row>
    <row r="922" spans="2:7" ht="13.2" x14ac:dyDescent="0.25">
      <c r="B922" s="17"/>
      <c r="C922" s="17"/>
      <c r="D922" s="17"/>
      <c r="E922" s="17"/>
      <c r="F922" s="17"/>
      <c r="G922" s="17"/>
    </row>
    <row r="923" spans="2:7" ht="13.2" x14ac:dyDescent="0.25">
      <c r="B923" s="17"/>
      <c r="C923" s="17"/>
      <c r="D923" s="17"/>
      <c r="E923" s="17"/>
      <c r="F923" s="17"/>
      <c r="G923" s="17"/>
    </row>
    <row r="924" spans="2:7" ht="13.2" x14ac:dyDescent="0.25">
      <c r="B924" s="17"/>
      <c r="C924" s="17"/>
      <c r="D924" s="17"/>
      <c r="E924" s="17"/>
      <c r="F924" s="17"/>
      <c r="G924" s="17"/>
    </row>
    <row r="925" spans="2:7" ht="13.2" x14ac:dyDescent="0.25">
      <c r="B925" s="17"/>
      <c r="C925" s="17"/>
      <c r="D925" s="17"/>
      <c r="E925" s="17"/>
      <c r="F925" s="17"/>
      <c r="G925" s="17"/>
    </row>
    <row r="926" spans="2:7" ht="13.2" x14ac:dyDescent="0.25">
      <c r="B926" s="17"/>
      <c r="C926" s="17"/>
      <c r="D926" s="17"/>
      <c r="E926" s="17"/>
      <c r="F926" s="17"/>
      <c r="G926" s="17"/>
    </row>
    <row r="927" spans="2:7" ht="13.2" x14ac:dyDescent="0.25">
      <c r="B927" s="17"/>
      <c r="C927" s="17"/>
      <c r="D927" s="17"/>
      <c r="E927" s="17"/>
      <c r="F927" s="17"/>
      <c r="G927" s="17"/>
    </row>
    <row r="928" spans="2:7" ht="13.2" x14ac:dyDescent="0.25">
      <c r="B928" s="17"/>
      <c r="C928" s="17"/>
      <c r="D928" s="17"/>
      <c r="E928" s="17"/>
      <c r="F928" s="17"/>
      <c r="G928" s="17"/>
    </row>
    <row r="929" spans="2:7" ht="13.2" x14ac:dyDescent="0.25">
      <c r="B929" s="17"/>
      <c r="C929" s="17"/>
      <c r="D929" s="17"/>
      <c r="E929" s="17"/>
      <c r="F929" s="17"/>
      <c r="G929" s="17"/>
    </row>
    <row r="930" spans="2:7" ht="13.2" x14ac:dyDescent="0.25">
      <c r="B930" s="17"/>
      <c r="C930" s="17"/>
      <c r="D930" s="17"/>
      <c r="E930" s="17"/>
      <c r="F930" s="17"/>
      <c r="G930" s="17"/>
    </row>
    <row r="931" spans="2:7" ht="13.2" x14ac:dyDescent="0.25">
      <c r="B931" s="17"/>
      <c r="C931" s="17"/>
      <c r="D931" s="17"/>
      <c r="E931" s="17"/>
      <c r="F931" s="17"/>
      <c r="G931" s="17"/>
    </row>
    <row r="932" spans="2:7" ht="13.2" x14ac:dyDescent="0.25">
      <c r="B932" s="17"/>
      <c r="C932" s="17"/>
      <c r="D932" s="17"/>
      <c r="E932" s="17"/>
      <c r="F932" s="17"/>
      <c r="G932" s="17"/>
    </row>
    <row r="933" spans="2:7" ht="13.2" x14ac:dyDescent="0.25">
      <c r="B933" s="17"/>
      <c r="C933" s="17"/>
      <c r="D933" s="17"/>
      <c r="E933" s="17"/>
      <c r="F933" s="17"/>
      <c r="G933" s="17"/>
    </row>
    <row r="934" spans="2:7" ht="13.2" x14ac:dyDescent="0.25">
      <c r="B934" s="17"/>
      <c r="C934" s="17"/>
      <c r="D934" s="17"/>
      <c r="E934" s="17"/>
      <c r="F934" s="17"/>
      <c r="G934" s="17"/>
    </row>
    <row r="935" spans="2:7" ht="13.2" x14ac:dyDescent="0.25">
      <c r="B935" s="17"/>
      <c r="C935" s="17"/>
      <c r="D935" s="17"/>
      <c r="E935" s="17"/>
      <c r="F935" s="17"/>
      <c r="G935" s="17"/>
    </row>
    <row r="936" spans="2:7" ht="13.2" x14ac:dyDescent="0.25">
      <c r="B936" s="17"/>
      <c r="C936" s="17"/>
      <c r="D936" s="17"/>
      <c r="E936" s="17"/>
      <c r="F936" s="17"/>
      <c r="G936" s="17"/>
    </row>
    <row r="937" spans="2:7" ht="13.2" x14ac:dyDescent="0.25">
      <c r="B937" s="17"/>
      <c r="C937" s="17"/>
      <c r="D937" s="17"/>
      <c r="E937" s="17"/>
      <c r="F937" s="17"/>
      <c r="G937" s="17"/>
    </row>
    <row r="938" spans="2:7" ht="13.2" x14ac:dyDescent="0.25">
      <c r="B938" s="17"/>
      <c r="C938" s="17"/>
      <c r="D938" s="17"/>
      <c r="E938" s="17"/>
      <c r="F938" s="17"/>
      <c r="G938" s="17"/>
    </row>
    <row r="939" spans="2:7" ht="13.2" x14ac:dyDescent="0.25">
      <c r="B939" s="17"/>
      <c r="C939" s="17"/>
      <c r="D939" s="17"/>
      <c r="E939" s="17"/>
      <c r="F939" s="17"/>
      <c r="G939" s="17"/>
    </row>
    <row r="940" spans="2:7" ht="13.2" x14ac:dyDescent="0.25">
      <c r="B940" s="17"/>
      <c r="C940" s="17"/>
      <c r="D940" s="17"/>
      <c r="E940" s="17"/>
      <c r="F940" s="17"/>
      <c r="G940" s="17"/>
    </row>
    <row r="941" spans="2:7" ht="13.2" x14ac:dyDescent="0.25">
      <c r="B941" s="17"/>
      <c r="C941" s="17"/>
      <c r="D941" s="17"/>
      <c r="E941" s="17"/>
      <c r="F941" s="17"/>
      <c r="G941" s="17"/>
    </row>
    <row r="942" spans="2:7" ht="13.2" x14ac:dyDescent="0.25">
      <c r="B942" s="17"/>
      <c r="C942" s="17"/>
      <c r="D942" s="17"/>
      <c r="E942" s="17"/>
      <c r="F942" s="17"/>
      <c r="G942" s="17"/>
    </row>
    <row r="943" spans="2:7" ht="13.2" x14ac:dyDescent="0.25">
      <c r="B943" s="17"/>
      <c r="C943" s="17"/>
      <c r="D943" s="17"/>
      <c r="E943" s="17"/>
      <c r="F943" s="17"/>
      <c r="G943" s="17"/>
    </row>
    <row r="944" spans="2:7" ht="13.2" x14ac:dyDescent="0.25">
      <c r="B944" s="17"/>
      <c r="C944" s="17"/>
      <c r="D944" s="17"/>
      <c r="E944" s="17"/>
      <c r="F944" s="17"/>
      <c r="G944" s="17"/>
    </row>
    <row r="945" spans="2:7" ht="13.2" x14ac:dyDescent="0.25">
      <c r="B945" s="17"/>
      <c r="C945" s="17"/>
      <c r="D945" s="17"/>
      <c r="E945" s="17"/>
      <c r="F945" s="17"/>
      <c r="G945" s="17"/>
    </row>
    <row r="946" spans="2:7" ht="13.2" x14ac:dyDescent="0.25">
      <c r="B946" s="17"/>
      <c r="C946" s="17"/>
      <c r="D946" s="17"/>
      <c r="E946" s="17"/>
      <c r="F946" s="17"/>
      <c r="G946" s="17"/>
    </row>
    <row r="947" spans="2:7" ht="13.2" x14ac:dyDescent="0.25">
      <c r="B947" s="17"/>
      <c r="C947" s="17"/>
      <c r="D947" s="17"/>
      <c r="E947" s="17"/>
      <c r="F947" s="17"/>
      <c r="G947" s="17"/>
    </row>
    <row r="948" spans="2:7" ht="13.2" x14ac:dyDescent="0.25">
      <c r="B948" s="17"/>
      <c r="C948" s="17"/>
      <c r="D948" s="17"/>
      <c r="E948" s="17"/>
      <c r="F948" s="17"/>
      <c r="G948" s="17"/>
    </row>
    <row r="949" spans="2:7" ht="13.2" x14ac:dyDescent="0.25">
      <c r="B949" s="17"/>
      <c r="C949" s="17"/>
      <c r="D949" s="17"/>
      <c r="E949" s="17"/>
      <c r="F949" s="17"/>
      <c r="G949" s="17"/>
    </row>
    <row r="950" spans="2:7" ht="13.2" x14ac:dyDescent="0.25">
      <c r="B950" s="17"/>
      <c r="C950" s="17"/>
      <c r="D950" s="17"/>
      <c r="E950" s="17"/>
      <c r="F950" s="17"/>
      <c r="G950" s="17"/>
    </row>
    <row r="951" spans="2:7" ht="13.2" x14ac:dyDescent="0.25">
      <c r="B951" s="17"/>
      <c r="C951" s="17"/>
      <c r="D951" s="17"/>
      <c r="E951" s="17"/>
      <c r="F951" s="17"/>
      <c r="G951" s="17"/>
    </row>
    <row r="952" spans="2:7" ht="13.2" x14ac:dyDescent="0.25">
      <c r="B952" s="17"/>
      <c r="C952" s="17"/>
      <c r="D952" s="17"/>
      <c r="E952" s="17"/>
      <c r="F952" s="17"/>
      <c r="G952" s="17"/>
    </row>
    <row r="953" spans="2:7" ht="13.2" x14ac:dyDescent="0.25">
      <c r="B953" s="17"/>
      <c r="C953" s="17"/>
      <c r="D953" s="17"/>
      <c r="E953" s="17"/>
      <c r="F953" s="17"/>
      <c r="G953" s="17"/>
    </row>
    <row r="954" spans="2:7" ht="13.2" x14ac:dyDescent="0.25">
      <c r="B954" s="17"/>
      <c r="C954" s="17"/>
      <c r="D954" s="17"/>
      <c r="E954" s="17"/>
      <c r="F954" s="17"/>
      <c r="G954" s="17"/>
    </row>
    <row r="955" spans="2:7" ht="13.2" x14ac:dyDescent="0.25">
      <c r="B955" s="17"/>
      <c r="C955" s="17"/>
      <c r="D955" s="17"/>
      <c r="E955" s="17"/>
      <c r="F955" s="17"/>
      <c r="G955" s="17"/>
    </row>
    <row r="956" spans="2:7" ht="13.2" x14ac:dyDescent="0.25">
      <c r="B956" s="17"/>
      <c r="C956" s="17"/>
      <c r="D956" s="17"/>
      <c r="E956" s="17"/>
      <c r="F956" s="17"/>
      <c r="G956" s="17"/>
    </row>
    <row r="957" spans="2:7" ht="13.2" x14ac:dyDescent="0.25">
      <c r="B957" s="17"/>
      <c r="C957" s="17"/>
      <c r="D957" s="17"/>
      <c r="E957" s="17"/>
      <c r="F957" s="17"/>
      <c r="G957" s="17"/>
    </row>
    <row r="958" spans="2:7" ht="13.2" x14ac:dyDescent="0.25">
      <c r="B958" s="17"/>
      <c r="C958" s="17"/>
      <c r="D958" s="17"/>
      <c r="E958" s="17"/>
      <c r="F958" s="17"/>
      <c r="G958" s="17"/>
    </row>
    <row r="959" spans="2:7" ht="13.2" x14ac:dyDescent="0.25">
      <c r="B959" s="17"/>
      <c r="C959" s="17"/>
      <c r="D959" s="17"/>
      <c r="E959" s="17"/>
      <c r="F959" s="17"/>
      <c r="G959" s="17"/>
    </row>
    <row r="960" spans="2:7" ht="13.2" x14ac:dyDescent="0.25">
      <c r="B960" s="17"/>
      <c r="C960" s="17"/>
      <c r="D960" s="17"/>
      <c r="E960" s="17"/>
      <c r="F960" s="17"/>
      <c r="G960" s="17"/>
    </row>
    <row r="961" spans="2:7" ht="13.2" x14ac:dyDescent="0.25">
      <c r="B961" s="17"/>
      <c r="C961" s="17"/>
      <c r="D961" s="17"/>
      <c r="E961" s="17"/>
      <c r="F961" s="17"/>
      <c r="G961" s="17"/>
    </row>
    <row r="962" spans="2:7" ht="13.2" x14ac:dyDescent="0.25">
      <c r="B962" s="17"/>
      <c r="C962" s="17"/>
      <c r="D962" s="17"/>
      <c r="E962" s="17"/>
      <c r="F962" s="17"/>
      <c r="G962" s="17"/>
    </row>
    <row r="963" spans="2:7" ht="13.2" x14ac:dyDescent="0.25">
      <c r="B963" s="17"/>
      <c r="C963" s="17"/>
      <c r="D963" s="17"/>
      <c r="E963" s="17"/>
      <c r="F963" s="17"/>
      <c r="G963" s="17"/>
    </row>
    <row r="964" spans="2:7" ht="13.2" x14ac:dyDescent="0.25">
      <c r="B964" s="17"/>
      <c r="C964" s="17"/>
      <c r="D964" s="17"/>
      <c r="E964" s="17"/>
      <c r="F964" s="17"/>
      <c r="G964" s="17"/>
    </row>
    <row r="965" spans="2:7" ht="13.2" x14ac:dyDescent="0.25">
      <c r="B965" s="17"/>
      <c r="C965" s="17"/>
      <c r="D965" s="17"/>
      <c r="E965" s="17"/>
      <c r="F965" s="17"/>
      <c r="G965" s="17"/>
    </row>
    <row r="966" spans="2:7" ht="13.2" x14ac:dyDescent="0.25">
      <c r="B966" s="17"/>
      <c r="C966" s="17"/>
      <c r="D966" s="17"/>
      <c r="E966" s="17"/>
      <c r="F966" s="17"/>
      <c r="G966" s="17"/>
    </row>
    <row r="967" spans="2:7" ht="13.2" x14ac:dyDescent="0.25">
      <c r="B967" s="17"/>
      <c r="C967" s="17"/>
      <c r="D967" s="17"/>
      <c r="E967" s="17"/>
      <c r="F967" s="17"/>
      <c r="G967" s="17"/>
    </row>
    <row r="968" spans="2:7" ht="13.2" x14ac:dyDescent="0.25">
      <c r="B968" s="17"/>
      <c r="C968" s="17"/>
      <c r="D968" s="17"/>
      <c r="E968" s="17"/>
      <c r="F968" s="17"/>
      <c r="G968" s="17"/>
    </row>
    <row r="969" spans="2:7" ht="13.2" x14ac:dyDescent="0.25">
      <c r="B969" s="17"/>
      <c r="C969" s="17"/>
      <c r="D969" s="17"/>
      <c r="E969" s="17"/>
      <c r="F969" s="17"/>
      <c r="G969" s="17"/>
    </row>
    <row r="970" spans="2:7" ht="13.2" x14ac:dyDescent="0.25">
      <c r="B970" s="17"/>
      <c r="C970" s="17"/>
      <c r="D970" s="17"/>
      <c r="E970" s="17"/>
      <c r="F970" s="17"/>
      <c r="G970" s="17"/>
    </row>
    <row r="971" spans="2:7" ht="13.2" x14ac:dyDescent="0.25">
      <c r="B971" s="17"/>
      <c r="C971" s="17"/>
      <c r="D971" s="17"/>
      <c r="E971" s="17"/>
      <c r="F971" s="17"/>
      <c r="G971" s="17"/>
    </row>
    <row r="972" spans="2:7" ht="13.2" x14ac:dyDescent="0.25">
      <c r="B972" s="17"/>
      <c r="C972" s="17"/>
      <c r="D972" s="17"/>
      <c r="E972" s="17"/>
      <c r="F972" s="17"/>
      <c r="G972" s="17"/>
    </row>
    <row r="973" spans="2:7" ht="13.2" x14ac:dyDescent="0.25">
      <c r="B973" s="17"/>
      <c r="C973" s="17"/>
      <c r="D973" s="17"/>
      <c r="E973" s="17"/>
      <c r="F973" s="17"/>
      <c r="G973" s="17"/>
    </row>
    <row r="974" spans="2:7" ht="13.2" x14ac:dyDescent="0.25">
      <c r="B974" s="17"/>
      <c r="C974" s="17"/>
      <c r="D974" s="17"/>
      <c r="E974" s="17"/>
      <c r="F974" s="17"/>
      <c r="G974" s="17"/>
    </row>
  </sheetData>
  <autoFilter ref="A2:G4" xr:uid="{00000000-0009-0000-0000-000005000000}"/>
  <mergeCells count="2">
    <mergeCell ref="A1:B1"/>
    <mergeCell ref="C1:G1"/>
  </mergeCells>
  <phoneticPr fontId="5"/>
  <conditionalFormatting sqref="C3:G24">
    <cfRule type="cellIs" dxfId="5" priority="1" operator="greaterThanOrEqual">
      <formula>3</formula>
    </cfRule>
    <cfRule type="cellIs" dxfId="4" priority="2" operator="greaterThanOrEqual">
      <formula>2</formula>
    </cfRule>
    <cfRule type="cellIs" dxfId="3" priority="3" operator="greaterThanOrEqual">
      <formula>1</formula>
    </cfRule>
  </conditionalFormatting>
  <printOptions horizontalCentered="1" gridLines="1"/>
  <pageMargins left="0.7" right="0.7" top="0.75" bottom="0.75" header="0" footer="0"/>
  <pageSetup paperSize="9"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G974"/>
  <sheetViews>
    <sheetView workbookViewId="0">
      <pane ySplit="2" topLeftCell="A3" activePane="bottomLeft" state="frozen"/>
      <selection pane="bottomLeft" activeCell="B4" sqref="B4"/>
    </sheetView>
  </sheetViews>
  <sheetFormatPr defaultColWidth="12.6640625" defaultRowHeight="15.75" customHeight="1" x14ac:dyDescent="0.25"/>
  <cols>
    <col min="1" max="1" width="42.77734375" customWidth="1"/>
    <col min="2" max="7" width="13.88671875" customWidth="1"/>
  </cols>
  <sheetData>
    <row r="1" spans="1:7" ht="15.75" customHeight="1" x14ac:dyDescent="0.3">
      <c r="A1" s="36" t="s">
        <v>413</v>
      </c>
      <c r="B1" s="37"/>
      <c r="C1" s="38" t="s">
        <v>414</v>
      </c>
      <c r="D1" s="39"/>
      <c r="E1" s="39"/>
      <c r="F1" s="39"/>
      <c r="G1" s="39"/>
    </row>
    <row r="2" spans="1:7" ht="15.75" customHeight="1" x14ac:dyDescent="0.3">
      <c r="A2" s="9" t="s">
        <v>415</v>
      </c>
      <c r="B2" s="10" t="s">
        <v>424</v>
      </c>
      <c r="C2" s="10" t="s">
        <v>417</v>
      </c>
      <c r="D2" s="11" t="s">
        <v>418</v>
      </c>
      <c r="E2" s="11" t="s">
        <v>419</v>
      </c>
      <c r="F2" s="11" t="s">
        <v>420</v>
      </c>
      <c r="G2" s="12" t="s">
        <v>421</v>
      </c>
    </row>
    <row r="3" spans="1:7" ht="13.2" x14ac:dyDescent="0.25">
      <c r="A3" s="13" t="s">
        <v>17</v>
      </c>
      <c r="B3" s="14">
        <f>IFERROR(COUNTIFS(中間データ!$D:$D,$A3,中間データ!$P:$P,"&gt;="&amp;DATE(2026,2,1),中間データ!$P:$P,"&lt;="&amp;DATE(2026,4,30)),"")</f>
        <v>9</v>
      </c>
      <c r="C3" s="24">
        <f>IFERROR(AVERAGEIFS(中間データ!$F:$F,中間データ!$D:$D,$A3,中間データ!$P:$P,"&gt;="&amp;DATE(2026,2,1),中間データ!$P:$P,"&lt;="&amp;DATE(2026,4,30)),"")</f>
        <v>3.8888888888888888</v>
      </c>
      <c r="D3" s="25">
        <f>IFERROR(AVERAGEIFS(中間データ!$H:$H,中間データ!$D:$D,$A3,中間データ!$P:$P,"&gt;="&amp;DATE(2026,2,1),中間データ!$P:$P,"&lt;="&amp;DATE(2026,4,30)),"")</f>
        <v>4</v>
      </c>
      <c r="E3" s="25">
        <f>IFERROR(AVERAGEIFS(中間データ!$G:$G,中間データ!$D:$D,$A3,中間データ!$P:$P,"&gt;="&amp;DATE(2026,2,1),中間データ!$P:$P,"&lt;="&amp;DATE(2026,4,30)),"")</f>
        <v>3.8888888888888888</v>
      </c>
      <c r="F3" s="25">
        <f>IFERROR(AVERAGEIFS(中間データ!$K:$K,中間データ!$D:$D,$A3,中間データ!$P:$P,"&gt;="&amp;DATE(2026,2,1),中間データ!$P:$P,"&lt;="&amp;DATE(2026,4,30)),"")</f>
        <v>3.8888888888888888</v>
      </c>
      <c r="G3" s="25">
        <f>IFERROR(AVERAGEIFS(中間データ!$J:$J,中間データ!$D:$D,$A3,中間データ!$P:$P,"&gt;="&amp;DATE(2026,2,1),中間データ!$P:$P,"&lt;="&amp;DATE(2026,4,30)),"")</f>
        <v>3.6666666666666665</v>
      </c>
    </row>
    <row r="4" spans="1:7" ht="13.2" x14ac:dyDescent="0.25">
      <c r="A4" s="22" t="s">
        <v>75</v>
      </c>
      <c r="B4" s="23">
        <f>IFERROR(COUNTIFS(中間データ!$D:$D,$A4,中間データ!$P:$P,"&gt;="&amp;DATE(2026,2,1),中間データ!$P:$P,"&lt;="&amp;DATE(2026,4,30)),"")</f>
        <v>0</v>
      </c>
      <c r="C4" s="24" t="str">
        <f>IFERROR(AVERAGEIFS(中間データ!$F:$F,中間データ!$D:$D,$A4,中間データ!$P:$P,"&gt;="&amp;DATE(2026,2,1),中間データ!$P:$P,"&lt;="&amp;DATE(2026,4,30)),"")</f>
        <v/>
      </c>
      <c r="D4" s="25" t="str">
        <f>IFERROR(AVERAGEIFS(中間データ!$H:$H,中間データ!$D:$D,$A4,中間データ!$P:$P,"&gt;="&amp;DATE(2026,2,1),中間データ!$P:$P,"&lt;="&amp;DATE(2026,4,30)),"")</f>
        <v/>
      </c>
      <c r="E4" s="25" t="str">
        <f>IFERROR(AVERAGEIFS(中間データ!$G:$G,中間データ!$D:$D,$A4,中間データ!$P:$P,"&gt;="&amp;DATE(2026,2,1),中間データ!$P:$P,"&lt;="&amp;DATE(2026,4,30)),"")</f>
        <v/>
      </c>
      <c r="F4" s="25" t="str">
        <f>IFERROR(AVERAGEIFS(中間データ!$K:$K,中間データ!$D:$D,$A4,中間データ!$P:$P,"&gt;="&amp;DATE(2026,2,1),中間データ!$P:$P,"&lt;="&amp;DATE(2026,4,30)),"")</f>
        <v/>
      </c>
      <c r="G4" s="25" t="str">
        <f>IFERROR(AVERAGEIFS(中間データ!$J:$J,中間データ!$D:$D,$A4,中間データ!$P:$P,"&gt;="&amp;DATE(2026,2,1),中間データ!$P:$P,"&lt;="&amp;DATE(2026,4,30)),"")</f>
        <v/>
      </c>
    </row>
    <row r="5" spans="1:7" ht="13.2" x14ac:dyDescent="0.25">
      <c r="A5" s="13" t="s">
        <v>173</v>
      </c>
      <c r="B5" s="14">
        <f>IFERROR(COUNTIFS(中間データ!$D:$D,$A5,中間データ!$P:$P,"&gt;="&amp;DATE(2026,2,1),中間データ!$P:$P,"&lt;="&amp;DATE(2026,4,30)),"")</f>
        <v>0</v>
      </c>
      <c r="C5" s="15" t="str">
        <f>IFERROR(AVERAGEIFS(中間データ!$F:$F,中間データ!$D:$D,$A5,中間データ!$P:$P,"&gt;="&amp;DATE(2026,2,1),中間データ!$P:$P,"&lt;="&amp;DATE(2026,4,30)),"")</f>
        <v/>
      </c>
      <c r="D5" s="16" t="str">
        <f>IFERROR(AVERAGEIFS(中間データ!$H:$H,中間データ!$D:$D,$A5,中間データ!$P:$P,"&gt;="&amp;DATE(2026,2,1),中間データ!$P:$P,"&lt;="&amp;DATE(2026,4,30)),"")</f>
        <v/>
      </c>
      <c r="E5" s="16" t="str">
        <f>IFERROR(AVERAGEIFS(中間データ!$G:$G,中間データ!$D:$D,$A5,中間データ!$P:$P,"&gt;="&amp;DATE(2026,2,1),中間データ!$P:$P,"&lt;="&amp;DATE(2026,4,30)),"")</f>
        <v/>
      </c>
      <c r="F5" s="16" t="str">
        <f>IFERROR(AVERAGEIFS(中間データ!$K:$K,中間データ!$D:$D,$A5,中間データ!$P:$P,"&gt;="&amp;DATE(2026,2,1),中間データ!$P:$P,"&lt;="&amp;DATE(2026,4,30)),"")</f>
        <v/>
      </c>
      <c r="G5" s="16" t="str">
        <f>IFERROR(AVERAGEIFS(中間データ!$J:$J,中間データ!$D:$D,$A5,中間データ!$P:$P,"&gt;="&amp;DATE(2026,2,1),中間データ!$P:$P,"&lt;="&amp;DATE(2026,4,30)),"")</f>
        <v/>
      </c>
    </row>
    <row r="6" spans="1:7" ht="13.2" x14ac:dyDescent="0.25">
      <c r="A6" s="13" t="s">
        <v>168</v>
      </c>
      <c r="B6" s="14">
        <f>IFERROR(COUNTIFS(中間データ!$D:$D,$A6,中間データ!$P:$P,"&gt;="&amp;DATE(2026,2,1),中間データ!$P:$P,"&lt;="&amp;DATE(2026,4,30)),"")</f>
        <v>0</v>
      </c>
      <c r="C6" s="15" t="str">
        <f>IFERROR(AVERAGEIFS(中間データ!$F:$F,中間データ!$D:$D,$A6,中間データ!$P:$P,"&gt;="&amp;DATE(2026,2,1),中間データ!$P:$P,"&lt;="&amp;DATE(2026,4,30)),"")</f>
        <v/>
      </c>
      <c r="D6" s="16" t="str">
        <f>IFERROR(AVERAGEIFS(中間データ!$H:$H,中間データ!$D:$D,$A6,中間データ!$P:$P,"&gt;="&amp;DATE(2026,2,1),中間データ!$P:$P,"&lt;="&amp;DATE(2026,4,30)),"")</f>
        <v/>
      </c>
      <c r="E6" s="16" t="str">
        <f>IFERROR(AVERAGEIFS(中間データ!$G:$G,中間データ!$D:$D,$A6,中間データ!$P:$P,"&gt;="&amp;DATE(2026,2,1),中間データ!$P:$P,"&lt;="&amp;DATE(2026,4,30)),"")</f>
        <v/>
      </c>
      <c r="F6" s="16" t="str">
        <f>IFERROR(AVERAGEIFS(中間データ!$K:$K,中間データ!$D:$D,$A6,中間データ!$P:$P,"&gt;="&amp;DATE(2026,2,1),中間データ!$P:$P,"&lt;="&amp;DATE(2026,4,30)),"")</f>
        <v/>
      </c>
      <c r="G6" s="16" t="str">
        <f>IFERROR(AVERAGEIFS(中間データ!$J:$J,中間データ!$D:$D,$A6,中間データ!$P:$P,"&gt;="&amp;DATE(2026,2,1),中間データ!$P:$P,"&lt;="&amp;DATE(2026,4,30)),"")</f>
        <v/>
      </c>
    </row>
    <row r="7" spans="1:7" ht="13.2" x14ac:dyDescent="0.25">
      <c r="A7" s="13" t="s">
        <v>272</v>
      </c>
      <c r="B7" s="14">
        <f>IFERROR(COUNTIFS(中間データ!$D:$D,$A7,中間データ!$P:$P,"&gt;="&amp;DATE(2026,2,1),中間データ!$P:$P,"&lt;="&amp;DATE(2026,4,30)),"")</f>
        <v>0</v>
      </c>
      <c r="C7" s="15" t="str">
        <f>IFERROR(AVERAGEIFS(中間データ!$F:$F,中間データ!$D:$D,$A7,中間データ!$P:$P,"&gt;="&amp;DATE(2026,2,1),中間データ!$P:$P,"&lt;="&amp;DATE(2026,4,30)),"")</f>
        <v/>
      </c>
      <c r="D7" s="16" t="str">
        <f>IFERROR(AVERAGEIFS(中間データ!$H:$H,中間データ!$D:$D,$A7,中間データ!$P:$P,"&gt;="&amp;DATE(2026,2,1),中間データ!$P:$P,"&lt;="&amp;DATE(2026,4,30)),"")</f>
        <v/>
      </c>
      <c r="E7" s="16" t="str">
        <f>IFERROR(AVERAGEIFS(中間データ!$G:$G,中間データ!$D:$D,$A7,中間データ!$P:$P,"&gt;="&amp;DATE(2026,2,1),中間データ!$P:$P,"&lt;="&amp;DATE(2026,4,30)),"")</f>
        <v/>
      </c>
      <c r="F7" s="16" t="str">
        <f>IFERROR(AVERAGEIFS(中間データ!$K:$K,中間データ!$D:$D,$A7,中間データ!$P:$P,"&gt;="&amp;DATE(2026,2,1),中間データ!$P:$P,"&lt;="&amp;DATE(2026,4,30)),"")</f>
        <v/>
      </c>
      <c r="G7" s="16" t="str">
        <f>IFERROR(AVERAGEIFS(中間データ!$J:$J,中間データ!$D:$D,$A7,中間データ!$P:$P,"&gt;="&amp;DATE(2026,2,1),中間データ!$P:$P,"&lt;="&amp;DATE(2026,4,30)),"")</f>
        <v/>
      </c>
    </row>
    <row r="8" spans="1:7" ht="13.2" x14ac:dyDescent="0.25">
      <c r="A8" s="13" t="s">
        <v>422</v>
      </c>
      <c r="B8" s="14">
        <f>IFERROR(COUNTIFS(中間データ!$D:$D,$A8,中間データ!$P:$P,"&gt;="&amp;DATE(2026,2,1),中間データ!$P:$P,"&lt;="&amp;DATE(2026,4,30)),"")</f>
        <v>0</v>
      </c>
      <c r="C8" s="15" t="str">
        <f>IFERROR(AVERAGEIFS(中間データ!$F:$F,中間データ!$D:$D,$A8,中間データ!$P:$P,"&gt;="&amp;DATE(2026,2,1),中間データ!$P:$P,"&lt;="&amp;DATE(2026,4,30)),"")</f>
        <v/>
      </c>
      <c r="D8" s="16" t="str">
        <f>IFERROR(AVERAGEIFS(中間データ!$H:$H,中間データ!$D:$D,$A8,中間データ!$P:$P,"&gt;="&amp;DATE(2026,2,1),中間データ!$P:$P,"&lt;="&amp;DATE(2026,4,30)),"")</f>
        <v/>
      </c>
      <c r="E8" s="16" t="str">
        <f>IFERROR(AVERAGEIFS(中間データ!$G:$G,中間データ!$D:$D,$A8,中間データ!$P:$P,"&gt;="&amp;DATE(2026,2,1),中間データ!$P:$P,"&lt;="&amp;DATE(2026,4,30)),"")</f>
        <v/>
      </c>
      <c r="F8" s="16" t="str">
        <f>IFERROR(AVERAGEIFS(中間データ!$K:$K,中間データ!$D:$D,$A8,中間データ!$P:$P,"&gt;="&amp;DATE(2026,2,1),中間データ!$P:$P,"&lt;="&amp;DATE(2026,4,30)),"")</f>
        <v/>
      </c>
      <c r="G8" s="16" t="str">
        <f>IFERROR(AVERAGEIFS(中間データ!$J:$J,中間データ!$D:$D,$A8,中間データ!$P:$P,"&gt;="&amp;DATE(2026,2,1),中間データ!$P:$P,"&lt;="&amp;DATE(2026,4,30)),"")</f>
        <v/>
      </c>
    </row>
    <row r="9" spans="1:7" ht="13.2" x14ac:dyDescent="0.25">
      <c r="A9" s="13" t="s">
        <v>259</v>
      </c>
      <c r="B9" s="14">
        <f>IFERROR(COUNTIFS(中間データ!$D:$D,$A9,中間データ!$P:$P,"&gt;="&amp;DATE(2026,2,1),中間データ!$P:$P,"&lt;="&amp;DATE(2026,4,30)),"")</f>
        <v>0</v>
      </c>
      <c r="C9" s="15" t="str">
        <f>IFERROR(AVERAGEIFS(中間データ!$F:$F,中間データ!$D:$D,$A9,中間データ!$P:$P,"&gt;="&amp;DATE(2026,2,1),中間データ!$P:$P,"&lt;="&amp;DATE(2026,4,30)),"")</f>
        <v/>
      </c>
      <c r="D9" s="16" t="str">
        <f>IFERROR(AVERAGEIFS(中間データ!$H:$H,中間データ!$D:$D,$A9,中間データ!$P:$P,"&gt;="&amp;DATE(2026,2,1),中間データ!$P:$P,"&lt;="&amp;DATE(2026,4,30)),"")</f>
        <v/>
      </c>
      <c r="E9" s="16" t="str">
        <f>IFERROR(AVERAGEIFS(中間データ!$G:$G,中間データ!$D:$D,$A9,中間データ!$P:$P,"&gt;="&amp;DATE(2026,2,1),中間データ!$P:$P,"&lt;="&amp;DATE(2026,4,30)),"")</f>
        <v/>
      </c>
      <c r="F9" s="16" t="str">
        <f>IFERROR(AVERAGEIFS(中間データ!$K:$K,中間データ!$D:$D,$A9,中間データ!$P:$P,"&gt;="&amp;DATE(2026,2,1),中間データ!$P:$P,"&lt;="&amp;DATE(2026,4,30)),"")</f>
        <v/>
      </c>
      <c r="G9" s="16" t="str">
        <f>IFERROR(AVERAGEIFS(中間データ!$J:$J,中間データ!$D:$D,$A9,中間データ!$P:$P,"&gt;="&amp;DATE(2026,2,1),中間データ!$P:$P,"&lt;="&amp;DATE(2026,4,30)),"")</f>
        <v/>
      </c>
    </row>
    <row r="10" spans="1:7" ht="13.2" x14ac:dyDescent="0.25">
      <c r="A10" s="13" t="s">
        <v>292</v>
      </c>
      <c r="B10" s="14">
        <f>IFERROR(COUNTIFS(中間データ!$D:$D,$A10,中間データ!$P:$P,"&gt;="&amp;DATE(2026,2,1),中間データ!$P:$P,"&lt;="&amp;DATE(2026,4,30)),"")</f>
        <v>0</v>
      </c>
      <c r="C10" s="15" t="str">
        <f>IFERROR(AVERAGEIFS(中間データ!$F:$F,中間データ!$D:$D,$A10,中間データ!$P:$P,"&gt;="&amp;DATE(2026,2,1),中間データ!$P:$P,"&lt;="&amp;DATE(2026,4,30)),"")</f>
        <v/>
      </c>
      <c r="D10" s="16" t="str">
        <f>IFERROR(AVERAGEIFS(中間データ!$H:$H,中間データ!$D:$D,$A10,中間データ!$P:$P,"&gt;="&amp;DATE(2026,2,1),中間データ!$P:$P,"&lt;="&amp;DATE(2026,4,30)),"")</f>
        <v/>
      </c>
      <c r="E10" s="16" t="str">
        <f>IFERROR(AVERAGEIFS(中間データ!$G:$G,中間データ!$D:$D,$A10,中間データ!$P:$P,"&gt;="&amp;DATE(2026,2,1),中間データ!$P:$P,"&lt;="&amp;DATE(2026,4,30)),"")</f>
        <v/>
      </c>
      <c r="F10" s="16" t="str">
        <f>IFERROR(AVERAGEIFS(中間データ!$K:$K,中間データ!$D:$D,$A10,中間データ!$P:$P,"&gt;="&amp;DATE(2026,2,1),中間データ!$P:$P,"&lt;="&amp;DATE(2026,4,30)),"")</f>
        <v/>
      </c>
      <c r="G10" s="16" t="str">
        <f>IFERROR(AVERAGEIFS(中間データ!$J:$J,中間データ!$D:$D,$A10,中間データ!$P:$P,"&gt;="&amp;DATE(2026,2,1),中間データ!$P:$P,"&lt;="&amp;DATE(2026,4,30)),"")</f>
        <v/>
      </c>
    </row>
    <row r="11" spans="1:7" ht="13.2" x14ac:dyDescent="0.25">
      <c r="A11" s="13" t="s">
        <v>164</v>
      </c>
      <c r="B11" s="14">
        <f>IFERROR(COUNTIFS(中間データ!$D:$D,$A11,中間データ!$P:$P,"&gt;="&amp;DATE(2026,2,1),中間データ!$P:$P,"&lt;="&amp;DATE(2026,4,30)),"")</f>
        <v>0</v>
      </c>
      <c r="C11" s="15" t="str">
        <f>IFERROR(AVERAGEIFS(中間データ!$F:$F,中間データ!$D:$D,$A11,中間データ!$P:$P,"&gt;="&amp;DATE(2026,2,1),中間データ!$P:$P,"&lt;="&amp;DATE(2026,4,30)),"")</f>
        <v/>
      </c>
      <c r="D11" s="16" t="str">
        <f>IFERROR(AVERAGEIFS(中間データ!$H:$H,中間データ!$D:$D,$A11,中間データ!$P:$P,"&gt;="&amp;DATE(2026,2,1),中間データ!$P:$P,"&lt;="&amp;DATE(2026,4,30)),"")</f>
        <v/>
      </c>
      <c r="E11" s="16" t="str">
        <f>IFERROR(AVERAGEIFS(中間データ!$G:$G,中間データ!$D:$D,$A11,中間データ!$P:$P,"&gt;="&amp;DATE(2026,2,1),中間データ!$P:$P,"&lt;="&amp;DATE(2026,4,30)),"")</f>
        <v/>
      </c>
      <c r="F11" s="16" t="str">
        <f>IFERROR(AVERAGEIFS(中間データ!$K:$K,中間データ!$D:$D,$A11,中間データ!$P:$P,"&gt;="&amp;DATE(2026,2,1),中間データ!$P:$P,"&lt;="&amp;DATE(2026,4,30)),"")</f>
        <v/>
      </c>
      <c r="G11" s="16" t="str">
        <f>IFERROR(AVERAGEIFS(中間データ!$J:$J,中間データ!$D:$D,$A11,中間データ!$P:$P,"&gt;="&amp;DATE(2026,2,1),中間データ!$P:$P,"&lt;="&amp;DATE(2026,4,30)),"")</f>
        <v/>
      </c>
    </row>
    <row r="12" spans="1:7" ht="13.2" x14ac:dyDescent="0.25">
      <c r="A12" s="13" t="s">
        <v>159</v>
      </c>
      <c r="B12" s="14">
        <f>IFERROR(COUNTIFS(中間データ!$D:$D,$A12,中間データ!$P:$P,"&gt;="&amp;DATE(2026,2,1),中間データ!$P:$P,"&lt;="&amp;DATE(2026,4,30)),"")</f>
        <v>0</v>
      </c>
      <c r="C12" s="15" t="str">
        <f>IFERROR(AVERAGEIFS(中間データ!$F:$F,中間データ!$D:$D,$A12,中間データ!$P:$P,"&gt;="&amp;DATE(2026,2,1),中間データ!$P:$P,"&lt;="&amp;DATE(2026,4,30)),"")</f>
        <v/>
      </c>
      <c r="D12" s="16" t="str">
        <f>IFERROR(AVERAGEIFS(中間データ!$H:$H,中間データ!$D:$D,$A12,中間データ!$P:$P,"&gt;="&amp;DATE(2026,2,1),中間データ!$P:$P,"&lt;="&amp;DATE(2026,4,30)),"")</f>
        <v/>
      </c>
      <c r="E12" s="16" t="str">
        <f>IFERROR(AVERAGEIFS(中間データ!$G:$G,中間データ!$D:$D,$A12,中間データ!$P:$P,"&gt;="&amp;DATE(2026,2,1),中間データ!$P:$P,"&lt;="&amp;DATE(2026,4,30)),"")</f>
        <v/>
      </c>
      <c r="F12" s="16" t="str">
        <f>IFERROR(AVERAGEIFS(中間データ!$K:$K,中間データ!$D:$D,$A12,中間データ!$P:$P,"&gt;="&amp;DATE(2026,2,1),中間データ!$P:$P,"&lt;="&amp;DATE(2026,4,30)),"")</f>
        <v/>
      </c>
      <c r="G12" s="16" t="str">
        <f>IFERROR(AVERAGEIFS(中間データ!$J:$J,中間データ!$D:$D,$A12,中間データ!$P:$P,"&gt;="&amp;DATE(2026,2,1),中間データ!$P:$P,"&lt;="&amp;DATE(2026,4,30)),"")</f>
        <v/>
      </c>
    </row>
    <row r="13" spans="1:7" ht="13.2" x14ac:dyDescent="0.25">
      <c r="A13" s="13" t="s">
        <v>53</v>
      </c>
      <c r="B13" s="14">
        <f>IFERROR(COUNTIFS(中間データ!$D:$D,$A13,中間データ!$P:$P,"&gt;="&amp;DATE(2026,2,1),中間データ!$P:$P,"&lt;="&amp;DATE(2026,4,30)),"")</f>
        <v>3</v>
      </c>
      <c r="C13" s="15">
        <f>IFERROR(AVERAGEIFS(中間データ!$F:$F,中間データ!$D:$D,$A13,中間データ!$P:$P,"&gt;="&amp;DATE(2026,2,1),中間データ!$P:$P,"&lt;="&amp;DATE(2026,4,30)),"")</f>
        <v>3.6666666666666665</v>
      </c>
      <c r="D13" s="16">
        <f>IFERROR(AVERAGEIFS(中間データ!$H:$H,中間データ!$D:$D,$A13,中間データ!$P:$P,"&gt;="&amp;DATE(2026,2,1),中間データ!$P:$P,"&lt;="&amp;DATE(2026,4,30)),"")</f>
        <v>3.6666666666666665</v>
      </c>
      <c r="E13" s="16">
        <f>IFERROR(AVERAGEIFS(中間データ!$G:$G,中間データ!$D:$D,$A13,中間データ!$P:$P,"&gt;="&amp;DATE(2026,2,1),中間データ!$P:$P,"&lt;="&amp;DATE(2026,4,30)),"")</f>
        <v>3.6666666666666665</v>
      </c>
      <c r="F13" s="16">
        <f>IFERROR(AVERAGEIFS(中間データ!$K:$K,中間データ!$D:$D,$A13,中間データ!$P:$P,"&gt;="&amp;DATE(2026,2,1),中間データ!$P:$P,"&lt;="&amp;DATE(2026,4,30)),"")</f>
        <v>3.6666666666666665</v>
      </c>
      <c r="G13" s="16">
        <f>IFERROR(AVERAGEIFS(中間データ!$J:$J,中間データ!$D:$D,$A13,中間データ!$P:$P,"&gt;="&amp;DATE(2026,2,1),中間データ!$P:$P,"&lt;="&amp;DATE(2026,4,30)),"")</f>
        <v>3.6666666666666665</v>
      </c>
    </row>
    <row r="14" spans="1:7" ht="13.2" x14ac:dyDescent="0.25">
      <c r="A14" s="13" t="s">
        <v>60</v>
      </c>
      <c r="B14" s="14">
        <f>IFERROR(COUNTIFS(中間データ!$D:$D,$A14,中間データ!$P:$P,"&gt;="&amp;DATE(2026,2,1),中間データ!$P:$P,"&lt;="&amp;DATE(2026,4,30)),"")</f>
        <v>1</v>
      </c>
      <c r="C14" s="15">
        <f>IFERROR(AVERAGEIFS(中間データ!$F:$F,中間データ!$D:$D,$A14,中間データ!$P:$P,"&gt;="&amp;DATE(2026,2,1),中間データ!$P:$P,"&lt;="&amp;DATE(2026,4,30)),"")</f>
        <v>3</v>
      </c>
      <c r="D14" s="16">
        <f>IFERROR(AVERAGEIFS(中間データ!$H:$H,中間データ!$D:$D,$A14,中間データ!$P:$P,"&gt;="&amp;DATE(2026,2,1),中間データ!$P:$P,"&lt;="&amp;DATE(2026,4,30)),"")</f>
        <v>4</v>
      </c>
      <c r="E14" s="16">
        <f>IFERROR(AVERAGEIFS(中間データ!$G:$G,中間データ!$D:$D,$A14,中間データ!$P:$P,"&gt;="&amp;DATE(2026,2,1),中間データ!$P:$P,"&lt;="&amp;DATE(2026,4,30)),"")</f>
        <v>4</v>
      </c>
      <c r="F14" s="16">
        <f>IFERROR(AVERAGEIFS(中間データ!$K:$K,中間データ!$D:$D,$A14,中間データ!$P:$P,"&gt;="&amp;DATE(2026,2,1),中間データ!$P:$P,"&lt;="&amp;DATE(2026,4,30)),"")</f>
        <v>4</v>
      </c>
      <c r="G14" s="16">
        <f>IFERROR(AVERAGEIFS(中間データ!$J:$J,中間データ!$D:$D,$A14,中間データ!$P:$P,"&gt;="&amp;DATE(2026,2,1),中間データ!$P:$P,"&lt;="&amp;DATE(2026,4,30)),"")</f>
        <v>3</v>
      </c>
    </row>
    <row r="15" spans="1:7" ht="13.2" x14ac:dyDescent="0.25">
      <c r="A15" s="13" t="s">
        <v>148</v>
      </c>
      <c r="B15" s="14">
        <f>IFERROR(COUNTIFS(中間データ!$D:$D,$A15,中間データ!$P:$P,"&gt;="&amp;DATE(2026,2,1),中間データ!$P:$P,"&lt;="&amp;DATE(2026,4,30)),"")</f>
        <v>2</v>
      </c>
      <c r="C15" s="15">
        <f>IFERROR(AVERAGEIFS(中間データ!$F:$F,中間データ!$D:$D,$A15,中間データ!$P:$P,"&gt;="&amp;DATE(2026,2,1),中間データ!$P:$P,"&lt;="&amp;DATE(2026,4,30)),"")</f>
        <v>3.5</v>
      </c>
      <c r="D15" s="16">
        <f>IFERROR(AVERAGEIFS(中間データ!$H:$H,中間データ!$D:$D,$A15,中間データ!$P:$P,"&gt;="&amp;DATE(2026,2,1),中間データ!$P:$P,"&lt;="&amp;DATE(2026,4,30)),"")</f>
        <v>4</v>
      </c>
      <c r="E15" s="16">
        <f>IFERROR(AVERAGEIFS(中間データ!$G:$G,中間データ!$D:$D,$A15,中間データ!$P:$P,"&gt;="&amp;DATE(2026,2,1),中間データ!$P:$P,"&lt;="&amp;DATE(2026,4,30)),"")</f>
        <v>3.5</v>
      </c>
      <c r="F15" s="16">
        <f>IFERROR(AVERAGEIFS(中間データ!$K:$K,中間データ!$D:$D,$A15,中間データ!$P:$P,"&gt;="&amp;DATE(2026,2,1),中間データ!$P:$P,"&lt;="&amp;DATE(2026,4,30)),"")</f>
        <v>3.5</v>
      </c>
      <c r="G15" s="16">
        <f>IFERROR(AVERAGEIFS(中間データ!$J:$J,中間データ!$D:$D,$A15,中間データ!$P:$P,"&gt;="&amp;DATE(2026,2,1),中間データ!$P:$P,"&lt;="&amp;DATE(2026,4,30)),"")</f>
        <v>3.5</v>
      </c>
    </row>
    <row r="16" spans="1:7" ht="13.2" x14ac:dyDescent="0.25">
      <c r="A16" s="13" t="s">
        <v>117</v>
      </c>
      <c r="B16" s="14">
        <f>IFERROR(COUNTIFS(中間データ!$D:$D,$A16,中間データ!$P:$P,"&gt;="&amp;DATE(2026,2,1),中間データ!$P:$P,"&lt;="&amp;DATE(2026,4,30)),"")</f>
        <v>3</v>
      </c>
      <c r="C16" s="15">
        <f>IFERROR(AVERAGEIFS(中間データ!$F:$F,中間データ!$D:$D,$A16,中間データ!$P:$P,"&gt;="&amp;DATE(2026,2,1),中間データ!$P:$P,"&lt;="&amp;DATE(2026,4,30)),"")</f>
        <v>2.6666666666666665</v>
      </c>
      <c r="D16" s="16">
        <f>IFERROR(AVERAGEIFS(中間データ!$H:$H,中間データ!$D:$D,$A16,中間データ!$P:$P,"&gt;="&amp;DATE(2026,2,1),中間データ!$P:$P,"&lt;="&amp;DATE(2026,4,30)),"")</f>
        <v>3.3333333333333335</v>
      </c>
      <c r="E16" s="16">
        <f>IFERROR(AVERAGEIFS(中間データ!$G:$G,中間データ!$D:$D,$A16,中間データ!$P:$P,"&gt;="&amp;DATE(2026,2,1),中間データ!$P:$P,"&lt;="&amp;DATE(2026,4,30)),"")</f>
        <v>3.3333333333333335</v>
      </c>
      <c r="F16" s="16">
        <f>IFERROR(AVERAGEIFS(中間データ!$K:$K,中間データ!$D:$D,$A16,中間データ!$P:$P,"&gt;="&amp;DATE(2026,2,1),中間データ!$P:$P,"&lt;="&amp;DATE(2026,4,30)),"")</f>
        <v>3</v>
      </c>
      <c r="G16" s="16">
        <f>IFERROR(AVERAGEIFS(中間データ!$J:$J,中間データ!$D:$D,$A16,中間データ!$P:$P,"&gt;="&amp;DATE(2026,2,1),中間データ!$P:$P,"&lt;="&amp;DATE(2026,4,30)),"")</f>
        <v>3</v>
      </c>
    </row>
    <row r="17" spans="1:7" ht="13.2" x14ac:dyDescent="0.25">
      <c r="A17" s="13" t="s">
        <v>69</v>
      </c>
      <c r="B17" s="14">
        <f>IFERROR(COUNTIFS(中間データ!$D:$D,$A17,中間データ!$P:$P,"&gt;="&amp;DATE(2026,2,1),中間データ!$P:$P,"&lt;="&amp;DATE(2026,4,30)),"")</f>
        <v>4</v>
      </c>
      <c r="C17" s="15">
        <f>IFERROR(AVERAGEIFS(中間データ!$F:$F,中間データ!$D:$D,$A17,中間データ!$P:$P,"&gt;="&amp;DATE(2026,2,1),中間データ!$P:$P,"&lt;="&amp;DATE(2026,4,30)),"")</f>
        <v>3.25</v>
      </c>
      <c r="D17" s="16">
        <f>IFERROR(AVERAGEIFS(中間データ!$H:$H,中間データ!$D:$D,$A17,中間データ!$P:$P,"&gt;="&amp;DATE(2026,2,1),中間データ!$P:$P,"&lt;="&amp;DATE(2026,4,30)),"")</f>
        <v>3.75</v>
      </c>
      <c r="E17" s="16">
        <f>IFERROR(AVERAGEIFS(中間データ!$G:$G,中間データ!$D:$D,$A17,中間データ!$P:$P,"&gt;="&amp;DATE(2026,2,1),中間データ!$P:$P,"&lt;="&amp;DATE(2026,4,30)),"")</f>
        <v>4</v>
      </c>
      <c r="F17" s="16">
        <f>IFERROR(AVERAGEIFS(中間データ!$K:$K,中間データ!$D:$D,$A17,中間データ!$P:$P,"&gt;="&amp;DATE(2026,2,1),中間データ!$P:$P,"&lt;="&amp;DATE(2026,4,30)),"")</f>
        <v>3.25</v>
      </c>
      <c r="G17" s="16">
        <f>IFERROR(AVERAGEIFS(中間データ!$J:$J,中間データ!$D:$D,$A17,中間データ!$P:$P,"&gt;="&amp;DATE(2026,2,1),中間データ!$P:$P,"&lt;="&amp;DATE(2026,4,30)),"")</f>
        <v>3.25</v>
      </c>
    </row>
    <row r="18" spans="1:7" ht="13.2" x14ac:dyDescent="0.25">
      <c r="A18" s="13" t="s">
        <v>111</v>
      </c>
      <c r="B18" s="14">
        <f>IFERROR(COUNTIFS(中間データ!$D:$D,$A18,中間データ!$P:$P,"&gt;="&amp;DATE(2026,2,1),中間データ!$P:$P,"&lt;="&amp;DATE(2026,4,30)),"")</f>
        <v>2</v>
      </c>
      <c r="C18" s="15">
        <f>IFERROR(AVERAGEIFS(中間データ!$F:$F,中間データ!$D:$D,$A18,中間データ!$P:$P,"&gt;="&amp;DATE(2026,2,1),中間データ!$P:$P,"&lt;="&amp;DATE(2026,4,30)),"")</f>
        <v>4</v>
      </c>
      <c r="D18" s="16">
        <f>IFERROR(AVERAGEIFS(中間データ!$H:$H,中間データ!$D:$D,$A18,中間データ!$P:$P,"&gt;="&amp;DATE(2026,2,1),中間データ!$P:$P,"&lt;="&amp;DATE(2026,4,30)),"")</f>
        <v>4</v>
      </c>
      <c r="E18" s="16">
        <f>IFERROR(AVERAGEIFS(中間データ!$G:$G,中間データ!$D:$D,$A18,中間データ!$P:$P,"&gt;="&amp;DATE(2026,2,1),中間データ!$P:$P,"&lt;="&amp;DATE(2026,4,30)),"")</f>
        <v>4</v>
      </c>
      <c r="F18" s="16">
        <f>IFERROR(AVERAGEIFS(中間データ!$K:$K,中間データ!$D:$D,$A18,中間データ!$P:$P,"&gt;="&amp;DATE(2026,2,1),中間データ!$P:$P,"&lt;="&amp;DATE(2026,4,30)),"")</f>
        <v>4</v>
      </c>
      <c r="G18" s="16">
        <f>IFERROR(AVERAGEIFS(中間データ!$J:$J,中間データ!$D:$D,$A18,中間データ!$P:$P,"&gt;="&amp;DATE(2026,2,1),中間データ!$P:$P,"&lt;="&amp;DATE(2026,4,30)),"")</f>
        <v>3.5</v>
      </c>
    </row>
    <row r="19" spans="1:7" ht="13.2" x14ac:dyDescent="0.25">
      <c r="A19" s="13"/>
      <c r="B19" s="15"/>
      <c r="C19" s="15">
        <f>IFERROR(AVERAGEIFS(中間データ!$F:$F, 中間データ!$D:$D, $A19), "")</f>
        <v>0</v>
      </c>
      <c r="D19" s="16">
        <f>IFERROR(AVERAGEIFS(中間データ!$H:$H, 中間データ!$D:$D, $A19), "")</f>
        <v>0</v>
      </c>
      <c r="E19" s="16">
        <f>IFERROR(AVERAGEIFS(中間データ!$G:$G, 中間データ!$D:$D, $A19), "")</f>
        <v>0</v>
      </c>
      <c r="F19" s="16" t="str">
        <f>IFERROR(AVERAGEIFS(中間データ!$K:$K,中間データ!$D:$D,$A19,中間データ!$P:$P,"&gt;="&amp;DATE(2025,11,1),中間データ!$P:$P,"&lt;="&amp;DATE(2026,1,31)),"")</f>
        <v/>
      </c>
      <c r="G19" s="16">
        <f>IFERROR(AVERAGEIFS(中間データ!$J:$J, 中間データ!$D:$D, $A19), "")</f>
        <v>0</v>
      </c>
    </row>
    <row r="20" spans="1:7" ht="13.2" x14ac:dyDescent="0.25">
      <c r="A20" s="13"/>
      <c r="B20" s="15"/>
      <c r="C20" s="15">
        <f>IFERROR(AVERAGEIFS(中間データ!$F:$F, 中間データ!$D:$D, $A20), "")</f>
        <v>0</v>
      </c>
      <c r="D20" s="16">
        <f>IFERROR(AVERAGEIFS(中間データ!$H:$H, 中間データ!$D:$D, $A20), "")</f>
        <v>0</v>
      </c>
      <c r="E20" s="16">
        <f>IFERROR(AVERAGEIFS(中間データ!$G:$G, 中間データ!$D:$D, $A20), "")</f>
        <v>0</v>
      </c>
      <c r="F20" s="16">
        <f>IFERROR(AVERAGEIFS(中間データ!$K:$K, 中間データ!$D:$D, $A20), "")</f>
        <v>0</v>
      </c>
      <c r="G20" s="16">
        <f>IFERROR(AVERAGEIFS(中間データ!$J:$J, 中間データ!$D:$D, $A20), "")</f>
        <v>0</v>
      </c>
    </row>
    <row r="21" spans="1:7" ht="13.2" x14ac:dyDescent="0.25">
      <c r="A21" s="13"/>
      <c r="B21" s="15"/>
      <c r="C21" s="15">
        <f>IFERROR(AVERAGEIFS(中間データ!$F:$F, 中間データ!$D:$D, $A21), "")</f>
        <v>0</v>
      </c>
      <c r="D21" s="16">
        <f>IFERROR(AVERAGEIFS(中間データ!$H:$H, 中間データ!$D:$D, $A21), "")</f>
        <v>0</v>
      </c>
      <c r="E21" s="16">
        <f>IFERROR(AVERAGEIFS(中間データ!$G:$G, 中間データ!$D:$D, $A21), "")</f>
        <v>0</v>
      </c>
      <c r="F21" s="16">
        <f>IFERROR(AVERAGEIFS(中間データ!$K:$K, 中間データ!$D:$D, $A21), "")</f>
        <v>0</v>
      </c>
      <c r="G21" s="16">
        <f>IFERROR(AVERAGEIFS(中間データ!$J:$J, 中間データ!$D:$D, $A21), "")</f>
        <v>0</v>
      </c>
    </row>
    <row r="22" spans="1:7" ht="13.2" x14ac:dyDescent="0.25">
      <c r="A22" s="13"/>
      <c r="B22" s="15"/>
      <c r="C22" s="15">
        <f>IFERROR(AVERAGEIFS(中間データ!$F:$F, 中間データ!$D:$D, $A22), "")</f>
        <v>0</v>
      </c>
      <c r="D22" s="16">
        <f>IFERROR(AVERAGEIFS(中間データ!$H:$H, 中間データ!$D:$D, $A22), "")</f>
        <v>0</v>
      </c>
      <c r="E22" s="16">
        <f>IFERROR(AVERAGEIFS(中間データ!$G:$G, 中間データ!$D:$D, $A22), "")</f>
        <v>0</v>
      </c>
      <c r="F22" s="16">
        <f>IFERROR(AVERAGEIFS(中間データ!$K:$K, 中間データ!$D:$D, $A22), "")</f>
        <v>0</v>
      </c>
      <c r="G22" s="16">
        <f>IFERROR(AVERAGEIFS(中間データ!$J:$J, 中間データ!$D:$D, $A22), "")</f>
        <v>0</v>
      </c>
    </row>
    <row r="23" spans="1:7" ht="13.2" x14ac:dyDescent="0.25">
      <c r="A23" s="13"/>
      <c r="B23" s="15"/>
      <c r="C23" s="15">
        <f>IFERROR(AVERAGEIFS(中間データ!$F:$F, 中間データ!$D:$D, $A23), "")</f>
        <v>0</v>
      </c>
      <c r="D23" s="16">
        <f>IFERROR(AVERAGEIFS(中間データ!$H:$H, 中間データ!$D:$D, $A23), "")</f>
        <v>0</v>
      </c>
      <c r="E23" s="16">
        <f>IFERROR(AVERAGEIFS(中間データ!$G:$G, 中間データ!$D:$D, $A23), "")</f>
        <v>0</v>
      </c>
      <c r="F23" s="16">
        <f>IFERROR(AVERAGEIFS(中間データ!$K:$K, 中間データ!$D:$D, $A23), "")</f>
        <v>0</v>
      </c>
      <c r="G23" s="16">
        <f>IFERROR(AVERAGEIFS(中間データ!$J:$J, 中間データ!$D:$D, $A23), "")</f>
        <v>0</v>
      </c>
    </row>
    <row r="24" spans="1:7" ht="13.2" x14ac:dyDescent="0.25">
      <c r="A24" s="13"/>
      <c r="B24" s="15"/>
      <c r="C24" s="15">
        <f>IFERROR(AVERAGEIFS(中間データ!$F:$F, 中間データ!$D:$D, $A24), "")</f>
        <v>0</v>
      </c>
      <c r="D24" s="16">
        <f>IFERROR(AVERAGEIFS(中間データ!$H:$H, 中間データ!$D:$D, $A24), "")</f>
        <v>0</v>
      </c>
      <c r="E24" s="16">
        <f>IFERROR(AVERAGEIFS(中間データ!$G:$G, 中間データ!$D:$D, $A24), "")</f>
        <v>0</v>
      </c>
      <c r="F24" s="16">
        <f>IFERROR(AVERAGEIFS(中間データ!$K:$K, 中間データ!$D:$D, $A24), "")</f>
        <v>0</v>
      </c>
      <c r="G24" s="16">
        <f>IFERROR(AVERAGEIFS(中間データ!$J:$J, 中間データ!$D:$D, $A24), "")</f>
        <v>0</v>
      </c>
    </row>
    <row r="25" spans="1:7" ht="13.2" x14ac:dyDescent="0.25">
      <c r="A25" s="17"/>
      <c r="B25" s="17"/>
      <c r="C25" s="17"/>
      <c r="D25" s="17"/>
      <c r="E25" s="17"/>
      <c r="F25" s="17"/>
      <c r="G25" s="17"/>
    </row>
    <row r="26" spans="1:7" ht="13.2" x14ac:dyDescent="0.25">
      <c r="B26" s="17"/>
      <c r="C26" s="17"/>
      <c r="D26" s="17"/>
      <c r="E26" s="17"/>
      <c r="F26" s="17"/>
      <c r="G26" s="17"/>
    </row>
    <row r="27" spans="1:7" ht="13.2" x14ac:dyDescent="0.25">
      <c r="B27" s="17"/>
      <c r="C27" s="17"/>
      <c r="D27" s="17"/>
      <c r="E27" s="17"/>
      <c r="F27" s="17"/>
      <c r="G27" s="17"/>
    </row>
    <row r="28" spans="1:7" ht="13.2" x14ac:dyDescent="0.25">
      <c r="B28" s="17"/>
      <c r="C28" s="17"/>
      <c r="D28" s="17"/>
      <c r="E28" s="17"/>
      <c r="F28" s="17"/>
      <c r="G28" s="17"/>
    </row>
    <row r="29" spans="1:7" ht="13.2" x14ac:dyDescent="0.25">
      <c r="B29" s="17"/>
      <c r="C29" s="17"/>
      <c r="D29" s="17"/>
      <c r="E29" s="17"/>
      <c r="F29" s="17"/>
      <c r="G29" s="17"/>
    </row>
    <row r="30" spans="1:7" ht="13.2" x14ac:dyDescent="0.25">
      <c r="B30" s="17"/>
      <c r="C30" s="17"/>
      <c r="D30" s="17"/>
      <c r="E30" s="17"/>
      <c r="F30" s="17"/>
      <c r="G30" s="17"/>
    </row>
    <row r="31" spans="1:7" ht="13.2" x14ac:dyDescent="0.25">
      <c r="B31" s="17"/>
      <c r="C31" s="17"/>
      <c r="D31" s="17"/>
      <c r="E31" s="17"/>
      <c r="F31" s="17"/>
      <c r="G31" s="17"/>
    </row>
    <row r="32" spans="1:7" ht="13.2" x14ac:dyDescent="0.25">
      <c r="B32" s="17"/>
      <c r="C32" s="17"/>
      <c r="D32" s="17"/>
      <c r="E32" s="17"/>
      <c r="F32" s="17"/>
      <c r="G32" s="17"/>
    </row>
    <row r="33" spans="2:7" ht="13.2" x14ac:dyDescent="0.25">
      <c r="B33" s="17"/>
      <c r="C33" s="17"/>
      <c r="D33" s="17"/>
      <c r="E33" s="17"/>
      <c r="F33" s="17"/>
      <c r="G33" s="17"/>
    </row>
    <row r="34" spans="2:7" ht="13.2" x14ac:dyDescent="0.25">
      <c r="B34" s="17"/>
      <c r="C34" s="17"/>
      <c r="D34" s="17"/>
      <c r="E34" s="17"/>
      <c r="F34" s="17"/>
      <c r="G34" s="17"/>
    </row>
    <row r="35" spans="2:7" ht="13.2" x14ac:dyDescent="0.25">
      <c r="B35" s="17"/>
      <c r="C35" s="17"/>
      <c r="D35" s="17"/>
      <c r="E35" s="17"/>
      <c r="F35" s="17"/>
      <c r="G35" s="17"/>
    </row>
    <row r="36" spans="2:7" ht="13.2" x14ac:dyDescent="0.25">
      <c r="B36" s="17"/>
      <c r="C36" s="17"/>
      <c r="D36" s="17"/>
      <c r="E36" s="17"/>
      <c r="F36" s="17"/>
      <c r="G36" s="17"/>
    </row>
    <row r="37" spans="2:7" ht="13.2" x14ac:dyDescent="0.25">
      <c r="B37" s="17"/>
      <c r="C37" s="17"/>
      <c r="D37" s="17"/>
      <c r="E37" s="17"/>
      <c r="F37" s="17"/>
      <c r="G37" s="17"/>
    </row>
    <row r="38" spans="2:7" ht="13.2" x14ac:dyDescent="0.25">
      <c r="B38" s="17"/>
      <c r="C38" s="17"/>
      <c r="D38" s="17"/>
      <c r="E38" s="17"/>
      <c r="F38" s="17"/>
      <c r="G38" s="17"/>
    </row>
    <row r="39" spans="2:7" ht="13.2" x14ac:dyDescent="0.25">
      <c r="B39" s="17"/>
      <c r="C39" s="17"/>
      <c r="D39" s="17"/>
      <c r="E39" s="17"/>
      <c r="F39" s="17"/>
      <c r="G39" s="17"/>
    </row>
    <row r="40" spans="2:7" ht="13.2" x14ac:dyDescent="0.25">
      <c r="B40" s="17"/>
      <c r="C40" s="17"/>
      <c r="D40" s="17"/>
      <c r="E40" s="17"/>
      <c r="F40" s="17"/>
      <c r="G40" s="17"/>
    </row>
    <row r="41" spans="2:7" ht="13.2" x14ac:dyDescent="0.25">
      <c r="B41" s="17"/>
      <c r="C41" s="17"/>
      <c r="D41" s="17"/>
      <c r="E41" s="17"/>
      <c r="F41" s="17"/>
      <c r="G41" s="17"/>
    </row>
    <row r="42" spans="2:7" ht="13.2" x14ac:dyDescent="0.25">
      <c r="B42" s="17"/>
      <c r="C42" s="17"/>
      <c r="D42" s="17"/>
      <c r="E42" s="17"/>
      <c r="F42" s="17"/>
      <c r="G42" s="17"/>
    </row>
    <row r="43" spans="2:7" ht="13.2" x14ac:dyDescent="0.25">
      <c r="B43" s="17"/>
      <c r="C43" s="17"/>
      <c r="D43" s="17"/>
      <c r="E43" s="17"/>
      <c r="F43" s="17"/>
      <c r="G43" s="17"/>
    </row>
    <row r="44" spans="2:7" ht="13.2" x14ac:dyDescent="0.25">
      <c r="B44" s="17"/>
      <c r="C44" s="17"/>
      <c r="D44" s="17"/>
      <c r="E44" s="17"/>
      <c r="F44" s="17"/>
      <c r="G44" s="17"/>
    </row>
    <row r="45" spans="2:7" ht="13.2" x14ac:dyDescent="0.25">
      <c r="B45" s="17"/>
      <c r="C45" s="17"/>
      <c r="D45" s="17"/>
      <c r="E45" s="17"/>
      <c r="F45" s="17"/>
      <c r="G45" s="17"/>
    </row>
    <row r="46" spans="2:7" ht="13.2" x14ac:dyDescent="0.25">
      <c r="B46" s="17"/>
      <c r="C46" s="17"/>
      <c r="D46" s="17"/>
      <c r="E46" s="17"/>
      <c r="F46" s="17"/>
      <c r="G46" s="17"/>
    </row>
    <row r="47" spans="2:7" ht="13.2" x14ac:dyDescent="0.25">
      <c r="B47" s="17"/>
      <c r="C47" s="17"/>
      <c r="D47" s="17"/>
      <c r="E47" s="17"/>
      <c r="F47" s="17"/>
      <c r="G47" s="17"/>
    </row>
    <row r="48" spans="2:7" ht="13.2" x14ac:dyDescent="0.25">
      <c r="B48" s="17"/>
      <c r="C48" s="17"/>
      <c r="D48" s="17"/>
      <c r="E48" s="17"/>
      <c r="F48" s="17"/>
      <c r="G48" s="17"/>
    </row>
    <row r="49" spans="2:7" ht="13.2" x14ac:dyDescent="0.25">
      <c r="B49" s="17"/>
      <c r="C49" s="17"/>
      <c r="D49" s="17"/>
      <c r="E49" s="17"/>
      <c r="F49" s="17"/>
      <c r="G49" s="17"/>
    </row>
    <row r="50" spans="2:7" ht="13.2" x14ac:dyDescent="0.25">
      <c r="B50" s="17"/>
      <c r="C50" s="17"/>
      <c r="D50" s="17"/>
      <c r="E50" s="17"/>
      <c r="F50" s="17"/>
      <c r="G50" s="17"/>
    </row>
    <row r="51" spans="2:7" ht="13.2" x14ac:dyDescent="0.25">
      <c r="B51" s="17"/>
      <c r="C51" s="17"/>
      <c r="D51" s="17"/>
      <c r="E51" s="17"/>
      <c r="F51" s="17"/>
      <c r="G51" s="17"/>
    </row>
    <row r="52" spans="2:7" ht="13.2" x14ac:dyDescent="0.25">
      <c r="B52" s="17"/>
      <c r="C52" s="17"/>
      <c r="D52" s="17"/>
      <c r="E52" s="17"/>
      <c r="F52" s="17"/>
      <c r="G52" s="17"/>
    </row>
    <row r="53" spans="2:7" ht="13.2" x14ac:dyDescent="0.25">
      <c r="B53" s="17"/>
      <c r="C53" s="17"/>
      <c r="D53" s="17"/>
      <c r="E53" s="17"/>
      <c r="F53" s="17"/>
      <c r="G53" s="17"/>
    </row>
    <row r="54" spans="2:7" ht="13.2" x14ac:dyDescent="0.25">
      <c r="B54" s="17"/>
      <c r="C54" s="17"/>
      <c r="D54" s="17"/>
      <c r="E54" s="17"/>
      <c r="F54" s="17"/>
      <c r="G54" s="17"/>
    </row>
    <row r="55" spans="2:7" ht="13.2" x14ac:dyDescent="0.25">
      <c r="B55" s="17"/>
      <c r="C55" s="17"/>
      <c r="D55" s="17"/>
      <c r="E55" s="17"/>
      <c r="F55" s="17"/>
      <c r="G55" s="17"/>
    </row>
    <row r="56" spans="2:7" ht="13.2" x14ac:dyDescent="0.25">
      <c r="B56" s="17"/>
      <c r="C56" s="17"/>
      <c r="D56" s="17"/>
      <c r="E56" s="17"/>
      <c r="F56" s="17"/>
      <c r="G56" s="17"/>
    </row>
    <row r="57" spans="2:7" ht="13.2" x14ac:dyDescent="0.25">
      <c r="B57" s="17"/>
      <c r="C57" s="17"/>
      <c r="D57" s="17"/>
      <c r="E57" s="17"/>
      <c r="F57" s="17"/>
      <c r="G57" s="17"/>
    </row>
    <row r="58" spans="2:7" ht="13.2" x14ac:dyDescent="0.25">
      <c r="B58" s="17"/>
      <c r="C58" s="17"/>
      <c r="D58" s="17"/>
      <c r="E58" s="17"/>
      <c r="F58" s="17"/>
      <c r="G58" s="17"/>
    </row>
    <row r="59" spans="2:7" ht="13.2" x14ac:dyDescent="0.25">
      <c r="B59" s="17"/>
      <c r="C59" s="17"/>
      <c r="D59" s="17"/>
      <c r="E59" s="17"/>
      <c r="F59" s="17"/>
      <c r="G59" s="17"/>
    </row>
    <row r="60" spans="2:7" ht="13.2" x14ac:dyDescent="0.25">
      <c r="B60" s="17"/>
      <c r="C60" s="17"/>
      <c r="D60" s="17"/>
      <c r="E60" s="17"/>
      <c r="F60" s="17"/>
      <c r="G60" s="17"/>
    </row>
    <row r="61" spans="2:7" ht="13.2" x14ac:dyDescent="0.25">
      <c r="B61" s="17"/>
      <c r="C61" s="17"/>
      <c r="D61" s="17"/>
      <c r="E61" s="17"/>
      <c r="F61" s="17"/>
      <c r="G61" s="17"/>
    </row>
    <row r="62" spans="2:7" ht="13.2" x14ac:dyDescent="0.25">
      <c r="B62" s="17"/>
      <c r="C62" s="17"/>
      <c r="D62" s="17"/>
      <c r="E62" s="17"/>
      <c r="F62" s="17"/>
      <c r="G62" s="17"/>
    </row>
    <row r="63" spans="2:7" ht="13.2" x14ac:dyDescent="0.25">
      <c r="B63" s="17"/>
      <c r="C63" s="17"/>
      <c r="D63" s="17"/>
      <c r="E63" s="17"/>
      <c r="F63" s="17"/>
      <c r="G63" s="17"/>
    </row>
    <row r="64" spans="2:7" ht="13.2" x14ac:dyDescent="0.25">
      <c r="B64" s="17"/>
      <c r="C64" s="17"/>
      <c r="D64" s="17"/>
      <c r="E64" s="17"/>
      <c r="F64" s="17"/>
      <c r="G64" s="17"/>
    </row>
    <row r="65" spans="2:7" ht="13.2" x14ac:dyDescent="0.25">
      <c r="B65" s="17"/>
      <c r="C65" s="17"/>
      <c r="D65" s="17"/>
      <c r="E65" s="17"/>
      <c r="F65" s="17"/>
      <c r="G65" s="17"/>
    </row>
    <row r="66" spans="2:7" ht="13.2" x14ac:dyDescent="0.25">
      <c r="B66" s="17"/>
      <c r="C66" s="17"/>
      <c r="D66" s="17"/>
      <c r="E66" s="17"/>
      <c r="F66" s="17"/>
      <c r="G66" s="17"/>
    </row>
    <row r="67" spans="2:7" ht="13.2" x14ac:dyDescent="0.25">
      <c r="B67" s="17"/>
      <c r="C67" s="17"/>
      <c r="D67" s="17"/>
      <c r="E67" s="17"/>
      <c r="F67" s="17"/>
      <c r="G67" s="17"/>
    </row>
    <row r="68" spans="2:7" ht="13.2" x14ac:dyDescent="0.25">
      <c r="B68" s="17"/>
      <c r="C68" s="17"/>
      <c r="D68" s="17"/>
      <c r="E68" s="17"/>
      <c r="F68" s="17"/>
      <c r="G68" s="17"/>
    </row>
    <row r="69" spans="2:7" ht="13.2" x14ac:dyDescent="0.25">
      <c r="B69" s="17"/>
      <c r="C69" s="17"/>
      <c r="D69" s="17"/>
      <c r="E69" s="17"/>
      <c r="F69" s="17"/>
      <c r="G69" s="17"/>
    </row>
    <row r="70" spans="2:7" ht="13.2" x14ac:dyDescent="0.25">
      <c r="B70" s="17"/>
      <c r="C70" s="17"/>
      <c r="D70" s="17"/>
      <c r="E70" s="17"/>
      <c r="F70" s="17"/>
      <c r="G70" s="17"/>
    </row>
    <row r="71" spans="2:7" ht="13.2" x14ac:dyDescent="0.25">
      <c r="B71" s="17"/>
      <c r="C71" s="17"/>
      <c r="D71" s="17"/>
      <c r="E71" s="17"/>
      <c r="F71" s="17"/>
      <c r="G71" s="17"/>
    </row>
    <row r="72" spans="2:7" ht="13.2" x14ac:dyDescent="0.25">
      <c r="B72" s="17"/>
      <c r="C72" s="17"/>
      <c r="D72" s="17"/>
      <c r="E72" s="17"/>
      <c r="F72" s="17"/>
      <c r="G72" s="17"/>
    </row>
    <row r="73" spans="2:7" ht="13.2" x14ac:dyDescent="0.25">
      <c r="B73" s="17"/>
      <c r="C73" s="17"/>
      <c r="D73" s="17"/>
      <c r="E73" s="17"/>
      <c r="F73" s="17"/>
      <c r="G73" s="17"/>
    </row>
    <row r="74" spans="2:7" ht="13.2" x14ac:dyDescent="0.25">
      <c r="B74" s="17"/>
      <c r="C74" s="17"/>
      <c r="D74" s="17"/>
      <c r="E74" s="17"/>
      <c r="F74" s="17"/>
      <c r="G74" s="17"/>
    </row>
    <row r="75" spans="2:7" ht="13.2" x14ac:dyDescent="0.25">
      <c r="B75" s="17"/>
      <c r="C75" s="17"/>
      <c r="D75" s="17"/>
      <c r="E75" s="17"/>
      <c r="F75" s="17"/>
      <c r="G75" s="17"/>
    </row>
    <row r="76" spans="2:7" ht="13.2" x14ac:dyDescent="0.25">
      <c r="B76" s="17"/>
      <c r="C76" s="17"/>
      <c r="D76" s="17"/>
      <c r="E76" s="17"/>
      <c r="F76" s="17"/>
      <c r="G76" s="17"/>
    </row>
    <row r="77" spans="2:7" ht="13.2" x14ac:dyDescent="0.25">
      <c r="B77" s="17"/>
      <c r="C77" s="17"/>
      <c r="D77" s="17"/>
      <c r="E77" s="17"/>
      <c r="F77" s="17"/>
      <c r="G77" s="17"/>
    </row>
    <row r="78" spans="2:7" ht="13.2" x14ac:dyDescent="0.25">
      <c r="B78" s="17"/>
      <c r="C78" s="17"/>
      <c r="D78" s="17"/>
      <c r="E78" s="17"/>
      <c r="F78" s="17"/>
      <c r="G78" s="17"/>
    </row>
    <row r="79" spans="2:7" ht="13.2" x14ac:dyDescent="0.25">
      <c r="B79" s="17"/>
      <c r="C79" s="17"/>
      <c r="D79" s="17"/>
      <c r="E79" s="17"/>
      <c r="F79" s="17"/>
      <c r="G79" s="17"/>
    </row>
    <row r="80" spans="2:7" ht="13.2" x14ac:dyDescent="0.25">
      <c r="B80" s="17"/>
      <c r="C80" s="17"/>
      <c r="D80" s="17"/>
      <c r="E80" s="17"/>
      <c r="F80" s="17"/>
      <c r="G80" s="17"/>
    </row>
    <row r="81" spans="2:7" ht="13.2" x14ac:dyDescent="0.25">
      <c r="B81" s="17"/>
      <c r="C81" s="17"/>
      <c r="D81" s="17"/>
      <c r="E81" s="17"/>
      <c r="F81" s="17"/>
      <c r="G81" s="17"/>
    </row>
    <row r="82" spans="2:7" ht="13.2" x14ac:dyDescent="0.25">
      <c r="B82" s="17"/>
      <c r="C82" s="17"/>
      <c r="D82" s="17"/>
      <c r="E82" s="17"/>
      <c r="F82" s="17"/>
      <c r="G82" s="17"/>
    </row>
    <row r="83" spans="2:7" ht="13.2" x14ac:dyDescent="0.25">
      <c r="B83" s="17"/>
      <c r="C83" s="17"/>
      <c r="D83" s="17"/>
      <c r="E83" s="17"/>
      <c r="F83" s="17"/>
      <c r="G83" s="17"/>
    </row>
    <row r="84" spans="2:7" ht="13.2" x14ac:dyDescent="0.25">
      <c r="B84" s="17"/>
      <c r="C84" s="17"/>
      <c r="D84" s="17"/>
      <c r="E84" s="17"/>
      <c r="F84" s="17"/>
      <c r="G84" s="17"/>
    </row>
    <row r="85" spans="2:7" ht="13.2" x14ac:dyDescent="0.25">
      <c r="B85" s="17"/>
      <c r="C85" s="17"/>
      <c r="D85" s="17"/>
      <c r="E85" s="17"/>
      <c r="F85" s="17"/>
      <c r="G85" s="17"/>
    </row>
    <row r="86" spans="2:7" ht="13.2" x14ac:dyDescent="0.25">
      <c r="B86" s="17"/>
      <c r="C86" s="17"/>
      <c r="D86" s="17"/>
      <c r="E86" s="17"/>
      <c r="F86" s="17"/>
      <c r="G86" s="17"/>
    </row>
    <row r="87" spans="2:7" ht="13.2" x14ac:dyDescent="0.25">
      <c r="B87" s="17"/>
      <c r="C87" s="17"/>
      <c r="D87" s="17"/>
      <c r="E87" s="17"/>
      <c r="F87" s="17"/>
      <c r="G87" s="17"/>
    </row>
    <row r="88" spans="2:7" ht="13.2" x14ac:dyDescent="0.25">
      <c r="B88" s="17"/>
      <c r="C88" s="17"/>
      <c r="D88" s="17"/>
      <c r="E88" s="17"/>
      <c r="F88" s="17"/>
      <c r="G88" s="17"/>
    </row>
    <row r="89" spans="2:7" ht="13.2" x14ac:dyDescent="0.25">
      <c r="B89" s="17"/>
      <c r="C89" s="17"/>
      <c r="D89" s="17"/>
      <c r="E89" s="17"/>
      <c r="F89" s="17"/>
      <c r="G89" s="17"/>
    </row>
    <row r="90" spans="2:7" ht="13.2" x14ac:dyDescent="0.25">
      <c r="B90" s="17"/>
      <c r="C90" s="17"/>
      <c r="D90" s="17"/>
      <c r="E90" s="17"/>
      <c r="F90" s="17"/>
      <c r="G90" s="17"/>
    </row>
    <row r="91" spans="2:7" ht="13.2" x14ac:dyDescent="0.25">
      <c r="B91" s="17"/>
      <c r="C91" s="17"/>
      <c r="D91" s="17"/>
      <c r="E91" s="17"/>
      <c r="F91" s="17"/>
      <c r="G91" s="17"/>
    </row>
    <row r="92" spans="2:7" ht="13.2" x14ac:dyDescent="0.25">
      <c r="B92" s="17"/>
      <c r="C92" s="17"/>
      <c r="D92" s="17"/>
      <c r="E92" s="17"/>
      <c r="F92" s="17"/>
      <c r="G92" s="17"/>
    </row>
    <row r="93" spans="2:7" ht="13.2" x14ac:dyDescent="0.25">
      <c r="B93" s="17"/>
      <c r="C93" s="17"/>
      <c r="D93" s="17"/>
      <c r="E93" s="17"/>
      <c r="F93" s="17"/>
      <c r="G93" s="17"/>
    </row>
    <row r="94" spans="2:7" ht="13.2" x14ac:dyDescent="0.25">
      <c r="B94" s="17"/>
      <c r="C94" s="17"/>
      <c r="D94" s="17"/>
      <c r="E94" s="17"/>
      <c r="F94" s="17"/>
      <c r="G94" s="17"/>
    </row>
    <row r="95" spans="2:7" ht="13.2" x14ac:dyDescent="0.25">
      <c r="B95" s="17"/>
      <c r="C95" s="17"/>
      <c r="D95" s="17"/>
      <c r="E95" s="17"/>
      <c r="F95" s="17"/>
      <c r="G95" s="17"/>
    </row>
    <row r="96" spans="2:7" ht="13.2" x14ac:dyDescent="0.25">
      <c r="B96" s="17"/>
      <c r="C96" s="17"/>
      <c r="D96" s="17"/>
      <c r="E96" s="17"/>
      <c r="F96" s="17"/>
      <c r="G96" s="17"/>
    </row>
    <row r="97" spans="2:7" ht="13.2" x14ac:dyDescent="0.25">
      <c r="B97" s="17"/>
      <c r="C97" s="17"/>
      <c r="D97" s="17"/>
      <c r="E97" s="17"/>
      <c r="F97" s="17"/>
      <c r="G97" s="17"/>
    </row>
    <row r="98" spans="2:7" ht="13.2" x14ac:dyDescent="0.25">
      <c r="B98" s="17"/>
      <c r="C98" s="17"/>
      <c r="D98" s="17"/>
      <c r="E98" s="17"/>
      <c r="F98" s="17"/>
      <c r="G98" s="17"/>
    </row>
    <row r="99" spans="2:7" ht="13.2" x14ac:dyDescent="0.25">
      <c r="B99" s="17"/>
      <c r="C99" s="17"/>
      <c r="D99" s="17"/>
      <c r="E99" s="17"/>
      <c r="F99" s="17"/>
      <c r="G99" s="17"/>
    </row>
    <row r="100" spans="2:7" ht="13.2" x14ac:dyDescent="0.25">
      <c r="B100" s="17"/>
      <c r="C100" s="17"/>
      <c r="D100" s="17"/>
      <c r="E100" s="17"/>
      <c r="F100" s="17"/>
      <c r="G100" s="17"/>
    </row>
    <row r="101" spans="2:7" ht="13.2" x14ac:dyDescent="0.25">
      <c r="B101" s="17"/>
      <c r="C101" s="17"/>
      <c r="D101" s="17"/>
      <c r="E101" s="17"/>
      <c r="F101" s="17"/>
      <c r="G101" s="17"/>
    </row>
    <row r="102" spans="2:7" ht="13.2" x14ac:dyDescent="0.25">
      <c r="B102" s="17"/>
      <c r="C102" s="17"/>
      <c r="D102" s="17"/>
      <c r="E102" s="17"/>
      <c r="F102" s="17"/>
      <c r="G102" s="17"/>
    </row>
    <row r="103" spans="2:7" ht="13.2" x14ac:dyDescent="0.25">
      <c r="B103" s="17"/>
      <c r="C103" s="17"/>
      <c r="D103" s="17"/>
      <c r="E103" s="17"/>
      <c r="F103" s="17"/>
      <c r="G103" s="17"/>
    </row>
    <row r="104" spans="2:7" ht="13.2" x14ac:dyDescent="0.25">
      <c r="B104" s="17"/>
      <c r="C104" s="17"/>
      <c r="D104" s="17"/>
      <c r="E104" s="17"/>
      <c r="F104" s="17"/>
      <c r="G104" s="17"/>
    </row>
    <row r="105" spans="2:7" ht="13.2" x14ac:dyDescent="0.25">
      <c r="B105" s="17"/>
      <c r="C105" s="17"/>
      <c r="D105" s="17"/>
      <c r="E105" s="17"/>
      <c r="F105" s="17"/>
      <c r="G105" s="17"/>
    </row>
    <row r="106" spans="2:7" ht="13.2" x14ac:dyDescent="0.25">
      <c r="B106" s="17"/>
      <c r="C106" s="17"/>
      <c r="D106" s="17"/>
      <c r="E106" s="17"/>
      <c r="F106" s="17"/>
      <c r="G106" s="17"/>
    </row>
    <row r="107" spans="2:7" ht="13.2" x14ac:dyDescent="0.25">
      <c r="B107" s="17"/>
      <c r="C107" s="17"/>
      <c r="D107" s="17"/>
      <c r="E107" s="17"/>
      <c r="F107" s="17"/>
      <c r="G107" s="17"/>
    </row>
    <row r="108" spans="2:7" ht="13.2" x14ac:dyDescent="0.25">
      <c r="B108" s="17"/>
      <c r="C108" s="17"/>
      <c r="D108" s="17"/>
      <c r="E108" s="17"/>
      <c r="F108" s="17"/>
      <c r="G108" s="17"/>
    </row>
    <row r="109" spans="2:7" ht="13.2" x14ac:dyDescent="0.25">
      <c r="B109" s="17"/>
      <c r="C109" s="17"/>
      <c r="D109" s="17"/>
      <c r="E109" s="17"/>
      <c r="F109" s="17"/>
      <c r="G109" s="17"/>
    </row>
    <row r="110" spans="2:7" ht="13.2" x14ac:dyDescent="0.25">
      <c r="B110" s="17"/>
      <c r="C110" s="17"/>
      <c r="D110" s="17"/>
      <c r="E110" s="17"/>
      <c r="F110" s="17"/>
      <c r="G110" s="17"/>
    </row>
    <row r="111" spans="2:7" ht="13.2" x14ac:dyDescent="0.25">
      <c r="B111" s="17"/>
      <c r="C111" s="17"/>
      <c r="D111" s="17"/>
      <c r="E111" s="17"/>
      <c r="F111" s="17"/>
      <c r="G111" s="17"/>
    </row>
    <row r="112" spans="2:7" ht="13.2" x14ac:dyDescent="0.25">
      <c r="B112" s="17"/>
      <c r="C112" s="17"/>
      <c r="D112" s="17"/>
      <c r="E112" s="17"/>
      <c r="F112" s="17"/>
      <c r="G112" s="17"/>
    </row>
    <row r="113" spans="2:7" ht="13.2" x14ac:dyDescent="0.25">
      <c r="B113" s="17"/>
      <c r="C113" s="17"/>
      <c r="D113" s="17"/>
      <c r="E113" s="17"/>
      <c r="F113" s="17"/>
      <c r="G113" s="17"/>
    </row>
    <row r="114" spans="2:7" ht="13.2" x14ac:dyDescent="0.25">
      <c r="B114" s="17"/>
      <c r="C114" s="17"/>
      <c r="D114" s="17"/>
      <c r="E114" s="17"/>
      <c r="F114" s="17"/>
      <c r="G114" s="17"/>
    </row>
    <row r="115" spans="2:7" ht="13.2" x14ac:dyDescent="0.25">
      <c r="B115" s="17"/>
      <c r="C115" s="17"/>
      <c r="D115" s="17"/>
      <c r="E115" s="17"/>
      <c r="F115" s="17"/>
      <c r="G115" s="17"/>
    </row>
    <row r="116" spans="2:7" ht="13.2" x14ac:dyDescent="0.25">
      <c r="B116" s="17"/>
      <c r="C116" s="17"/>
      <c r="D116" s="17"/>
      <c r="E116" s="17"/>
      <c r="F116" s="17"/>
      <c r="G116" s="17"/>
    </row>
    <row r="117" spans="2:7" ht="13.2" x14ac:dyDescent="0.25">
      <c r="B117" s="17"/>
      <c r="C117" s="17"/>
      <c r="D117" s="17"/>
      <c r="E117" s="17"/>
      <c r="F117" s="17"/>
      <c r="G117" s="17"/>
    </row>
    <row r="118" spans="2:7" ht="13.2" x14ac:dyDescent="0.25">
      <c r="B118" s="17"/>
      <c r="C118" s="17"/>
      <c r="D118" s="17"/>
      <c r="E118" s="17"/>
      <c r="F118" s="17"/>
      <c r="G118" s="17"/>
    </row>
    <row r="119" spans="2:7" ht="13.2" x14ac:dyDescent="0.25">
      <c r="B119" s="17"/>
      <c r="C119" s="17"/>
      <c r="D119" s="17"/>
      <c r="E119" s="17"/>
      <c r="F119" s="17"/>
      <c r="G119" s="17"/>
    </row>
    <row r="120" spans="2:7" ht="13.2" x14ac:dyDescent="0.25">
      <c r="B120" s="17"/>
      <c r="C120" s="17"/>
      <c r="D120" s="17"/>
      <c r="E120" s="17"/>
      <c r="F120" s="17"/>
      <c r="G120" s="17"/>
    </row>
    <row r="121" spans="2:7" ht="13.2" x14ac:dyDescent="0.25">
      <c r="B121" s="17"/>
      <c r="C121" s="17"/>
      <c r="D121" s="17"/>
      <c r="E121" s="17"/>
      <c r="F121" s="17"/>
      <c r="G121" s="17"/>
    </row>
    <row r="122" spans="2:7" ht="13.2" x14ac:dyDescent="0.25">
      <c r="B122" s="17"/>
      <c r="C122" s="17"/>
      <c r="D122" s="17"/>
      <c r="E122" s="17"/>
      <c r="F122" s="17"/>
      <c r="G122" s="17"/>
    </row>
    <row r="123" spans="2:7" ht="13.2" x14ac:dyDescent="0.25">
      <c r="B123" s="17"/>
      <c r="C123" s="17"/>
      <c r="D123" s="17"/>
      <c r="E123" s="17"/>
      <c r="F123" s="17"/>
      <c r="G123" s="17"/>
    </row>
    <row r="124" spans="2:7" ht="13.2" x14ac:dyDescent="0.25">
      <c r="B124" s="17"/>
      <c r="C124" s="17"/>
      <c r="D124" s="17"/>
      <c r="E124" s="17"/>
      <c r="F124" s="17"/>
      <c r="G124" s="17"/>
    </row>
    <row r="125" spans="2:7" ht="13.2" x14ac:dyDescent="0.25">
      <c r="B125" s="17"/>
      <c r="C125" s="17"/>
      <c r="D125" s="17"/>
      <c r="E125" s="17"/>
      <c r="F125" s="17"/>
      <c r="G125" s="17"/>
    </row>
    <row r="126" spans="2:7" ht="13.2" x14ac:dyDescent="0.25">
      <c r="B126" s="17"/>
      <c r="C126" s="17"/>
      <c r="D126" s="17"/>
      <c r="E126" s="17"/>
      <c r="F126" s="17"/>
      <c r="G126" s="17"/>
    </row>
    <row r="127" spans="2:7" ht="13.2" x14ac:dyDescent="0.25">
      <c r="B127" s="17"/>
      <c r="C127" s="17"/>
      <c r="D127" s="17"/>
      <c r="E127" s="17"/>
      <c r="F127" s="17"/>
      <c r="G127" s="17"/>
    </row>
    <row r="128" spans="2:7" ht="13.2" x14ac:dyDescent="0.25">
      <c r="B128" s="17"/>
      <c r="C128" s="17"/>
      <c r="D128" s="17"/>
      <c r="E128" s="17"/>
      <c r="F128" s="17"/>
      <c r="G128" s="17"/>
    </row>
    <row r="129" spans="2:7" ht="13.2" x14ac:dyDescent="0.25">
      <c r="B129" s="17"/>
      <c r="C129" s="17"/>
      <c r="D129" s="17"/>
      <c r="E129" s="17"/>
      <c r="F129" s="17"/>
      <c r="G129" s="17"/>
    </row>
    <row r="130" spans="2:7" ht="13.2" x14ac:dyDescent="0.25">
      <c r="B130" s="17"/>
      <c r="C130" s="17"/>
      <c r="D130" s="17"/>
      <c r="E130" s="17"/>
      <c r="F130" s="17"/>
      <c r="G130" s="17"/>
    </row>
    <row r="131" spans="2:7" ht="13.2" x14ac:dyDescent="0.25">
      <c r="B131" s="17"/>
      <c r="C131" s="17"/>
      <c r="D131" s="17"/>
      <c r="E131" s="17"/>
      <c r="F131" s="17"/>
      <c r="G131" s="17"/>
    </row>
    <row r="132" spans="2:7" ht="13.2" x14ac:dyDescent="0.25">
      <c r="B132" s="17"/>
      <c r="C132" s="17"/>
      <c r="D132" s="17"/>
      <c r="E132" s="17"/>
      <c r="F132" s="17"/>
      <c r="G132" s="17"/>
    </row>
    <row r="133" spans="2:7" ht="13.2" x14ac:dyDescent="0.25">
      <c r="B133" s="17"/>
      <c r="C133" s="17"/>
      <c r="D133" s="17"/>
      <c r="E133" s="17"/>
      <c r="F133" s="17"/>
      <c r="G133" s="17"/>
    </row>
    <row r="134" spans="2:7" ht="13.2" x14ac:dyDescent="0.25">
      <c r="B134" s="17"/>
      <c r="C134" s="17"/>
      <c r="D134" s="17"/>
      <c r="E134" s="17"/>
      <c r="F134" s="17"/>
      <c r="G134" s="17"/>
    </row>
    <row r="135" spans="2:7" ht="13.2" x14ac:dyDescent="0.25">
      <c r="B135" s="17"/>
      <c r="C135" s="17"/>
      <c r="D135" s="17"/>
      <c r="E135" s="17"/>
      <c r="F135" s="17"/>
      <c r="G135" s="17"/>
    </row>
    <row r="136" spans="2:7" ht="13.2" x14ac:dyDescent="0.25">
      <c r="B136" s="17"/>
      <c r="C136" s="17"/>
      <c r="D136" s="17"/>
      <c r="E136" s="17"/>
      <c r="F136" s="17"/>
      <c r="G136" s="17"/>
    </row>
    <row r="137" spans="2:7" ht="13.2" x14ac:dyDescent="0.25">
      <c r="B137" s="17"/>
      <c r="C137" s="17"/>
      <c r="D137" s="17"/>
      <c r="E137" s="17"/>
      <c r="F137" s="17"/>
      <c r="G137" s="17"/>
    </row>
    <row r="138" spans="2:7" ht="13.2" x14ac:dyDescent="0.25">
      <c r="B138" s="17"/>
      <c r="C138" s="17"/>
      <c r="D138" s="17"/>
      <c r="E138" s="17"/>
      <c r="F138" s="17"/>
      <c r="G138" s="17"/>
    </row>
    <row r="139" spans="2:7" ht="13.2" x14ac:dyDescent="0.25">
      <c r="B139" s="17"/>
      <c r="C139" s="17"/>
      <c r="D139" s="17"/>
      <c r="E139" s="17"/>
      <c r="F139" s="17"/>
      <c r="G139" s="17"/>
    </row>
    <row r="140" spans="2:7" ht="13.2" x14ac:dyDescent="0.25">
      <c r="B140" s="17"/>
      <c r="C140" s="17"/>
      <c r="D140" s="17"/>
      <c r="E140" s="17"/>
      <c r="F140" s="17"/>
      <c r="G140" s="17"/>
    </row>
    <row r="141" spans="2:7" ht="13.2" x14ac:dyDescent="0.25">
      <c r="B141" s="17"/>
      <c r="C141" s="17"/>
      <c r="D141" s="17"/>
      <c r="E141" s="17"/>
      <c r="F141" s="17"/>
      <c r="G141" s="17"/>
    </row>
    <row r="142" spans="2:7" ht="13.2" x14ac:dyDescent="0.25">
      <c r="B142" s="17"/>
      <c r="C142" s="17"/>
      <c r="D142" s="17"/>
      <c r="E142" s="17"/>
      <c r="F142" s="17"/>
      <c r="G142" s="17"/>
    </row>
    <row r="143" spans="2:7" ht="13.2" x14ac:dyDescent="0.25">
      <c r="B143" s="17"/>
      <c r="C143" s="17"/>
      <c r="D143" s="17"/>
      <c r="E143" s="17"/>
      <c r="F143" s="17"/>
      <c r="G143" s="17"/>
    </row>
    <row r="144" spans="2:7" ht="13.2" x14ac:dyDescent="0.25">
      <c r="B144" s="17"/>
      <c r="C144" s="17"/>
      <c r="D144" s="17"/>
      <c r="E144" s="17"/>
      <c r="F144" s="17"/>
      <c r="G144" s="17"/>
    </row>
    <row r="145" spans="2:7" ht="13.2" x14ac:dyDescent="0.25">
      <c r="B145" s="17"/>
      <c r="C145" s="17"/>
      <c r="D145" s="17"/>
      <c r="E145" s="17"/>
      <c r="F145" s="17"/>
      <c r="G145" s="17"/>
    </row>
    <row r="146" spans="2:7" ht="13.2" x14ac:dyDescent="0.25">
      <c r="B146" s="17"/>
      <c r="C146" s="17"/>
      <c r="D146" s="17"/>
      <c r="E146" s="17"/>
      <c r="F146" s="17"/>
      <c r="G146" s="17"/>
    </row>
    <row r="147" spans="2:7" ht="13.2" x14ac:dyDescent="0.25">
      <c r="B147" s="17"/>
      <c r="C147" s="17"/>
      <c r="D147" s="17"/>
      <c r="E147" s="17"/>
      <c r="F147" s="17"/>
      <c r="G147" s="17"/>
    </row>
    <row r="148" spans="2:7" ht="13.2" x14ac:dyDescent="0.25">
      <c r="B148" s="17"/>
      <c r="C148" s="17"/>
      <c r="D148" s="17"/>
      <c r="E148" s="17"/>
      <c r="F148" s="17"/>
      <c r="G148" s="17"/>
    </row>
    <row r="149" spans="2:7" ht="13.2" x14ac:dyDescent="0.25">
      <c r="B149" s="17"/>
      <c r="C149" s="17"/>
      <c r="D149" s="17"/>
      <c r="E149" s="17"/>
      <c r="F149" s="17"/>
      <c r="G149" s="17"/>
    </row>
    <row r="150" spans="2:7" ht="13.2" x14ac:dyDescent="0.25">
      <c r="B150" s="17"/>
      <c r="C150" s="17"/>
      <c r="D150" s="17"/>
      <c r="E150" s="17"/>
      <c r="F150" s="17"/>
      <c r="G150" s="17"/>
    </row>
    <row r="151" spans="2:7" ht="13.2" x14ac:dyDescent="0.25">
      <c r="B151" s="17"/>
      <c r="C151" s="17"/>
      <c r="D151" s="17"/>
      <c r="E151" s="17"/>
      <c r="F151" s="17"/>
      <c r="G151" s="17"/>
    </row>
    <row r="152" spans="2:7" ht="13.2" x14ac:dyDescent="0.25">
      <c r="B152" s="17"/>
      <c r="C152" s="17"/>
      <c r="D152" s="17"/>
      <c r="E152" s="17"/>
      <c r="F152" s="17"/>
      <c r="G152" s="17"/>
    </row>
    <row r="153" spans="2:7" ht="13.2" x14ac:dyDescent="0.25">
      <c r="B153" s="17"/>
      <c r="C153" s="17"/>
      <c r="D153" s="17"/>
      <c r="E153" s="17"/>
      <c r="F153" s="17"/>
      <c r="G153" s="17"/>
    </row>
    <row r="154" spans="2:7" ht="13.2" x14ac:dyDescent="0.25">
      <c r="B154" s="17"/>
      <c r="C154" s="17"/>
      <c r="D154" s="17"/>
      <c r="E154" s="17"/>
      <c r="F154" s="17"/>
      <c r="G154" s="17"/>
    </row>
    <row r="155" spans="2:7" ht="13.2" x14ac:dyDescent="0.25">
      <c r="B155" s="17"/>
      <c r="C155" s="17"/>
      <c r="D155" s="17"/>
      <c r="E155" s="17"/>
      <c r="F155" s="17"/>
      <c r="G155" s="17"/>
    </row>
    <row r="156" spans="2:7" ht="13.2" x14ac:dyDescent="0.25">
      <c r="B156" s="17"/>
      <c r="C156" s="17"/>
      <c r="D156" s="17"/>
      <c r="E156" s="17"/>
      <c r="F156" s="17"/>
      <c r="G156" s="17"/>
    </row>
    <row r="157" spans="2:7" ht="13.2" x14ac:dyDescent="0.25">
      <c r="B157" s="17"/>
      <c r="C157" s="17"/>
      <c r="D157" s="17"/>
      <c r="E157" s="17"/>
      <c r="F157" s="17"/>
      <c r="G157" s="17"/>
    </row>
    <row r="158" spans="2:7" ht="13.2" x14ac:dyDescent="0.25">
      <c r="B158" s="17"/>
      <c r="C158" s="17"/>
      <c r="D158" s="17"/>
      <c r="E158" s="17"/>
      <c r="F158" s="17"/>
      <c r="G158" s="17"/>
    </row>
    <row r="159" spans="2:7" ht="13.2" x14ac:dyDescent="0.25">
      <c r="B159" s="17"/>
      <c r="C159" s="17"/>
      <c r="D159" s="17"/>
      <c r="E159" s="17"/>
      <c r="F159" s="17"/>
      <c r="G159" s="17"/>
    </row>
    <row r="160" spans="2:7" ht="13.2" x14ac:dyDescent="0.25">
      <c r="B160" s="17"/>
      <c r="C160" s="17"/>
      <c r="D160" s="17"/>
      <c r="E160" s="17"/>
      <c r="F160" s="17"/>
      <c r="G160" s="17"/>
    </row>
    <row r="161" spans="2:7" ht="13.2" x14ac:dyDescent="0.25">
      <c r="B161" s="17"/>
      <c r="C161" s="17"/>
      <c r="D161" s="17"/>
      <c r="E161" s="17"/>
      <c r="F161" s="17"/>
      <c r="G161" s="17"/>
    </row>
    <row r="162" spans="2:7" ht="13.2" x14ac:dyDescent="0.25">
      <c r="B162" s="17"/>
      <c r="C162" s="17"/>
      <c r="D162" s="17"/>
      <c r="E162" s="17"/>
      <c r="F162" s="17"/>
      <c r="G162" s="17"/>
    </row>
    <row r="163" spans="2:7" ht="13.2" x14ac:dyDescent="0.25">
      <c r="B163" s="17"/>
      <c r="C163" s="17"/>
      <c r="D163" s="17"/>
      <c r="E163" s="17"/>
      <c r="F163" s="17"/>
      <c r="G163" s="17"/>
    </row>
    <row r="164" spans="2:7" ht="13.2" x14ac:dyDescent="0.25">
      <c r="B164" s="17"/>
      <c r="C164" s="17"/>
      <c r="D164" s="17"/>
      <c r="E164" s="17"/>
      <c r="F164" s="17"/>
      <c r="G164" s="17"/>
    </row>
    <row r="165" spans="2:7" ht="13.2" x14ac:dyDescent="0.25">
      <c r="B165" s="17"/>
      <c r="C165" s="17"/>
      <c r="D165" s="17"/>
      <c r="E165" s="17"/>
      <c r="F165" s="17"/>
      <c r="G165" s="17"/>
    </row>
    <row r="166" spans="2:7" ht="13.2" x14ac:dyDescent="0.25">
      <c r="B166" s="17"/>
      <c r="C166" s="17"/>
      <c r="D166" s="17"/>
      <c r="E166" s="17"/>
      <c r="F166" s="17"/>
      <c r="G166" s="17"/>
    </row>
    <row r="167" spans="2:7" ht="13.2" x14ac:dyDescent="0.25">
      <c r="B167" s="17"/>
      <c r="C167" s="17"/>
      <c r="D167" s="17"/>
      <c r="E167" s="17"/>
      <c r="F167" s="17"/>
      <c r="G167" s="17"/>
    </row>
    <row r="168" spans="2:7" ht="13.2" x14ac:dyDescent="0.25">
      <c r="B168" s="17"/>
      <c r="C168" s="17"/>
      <c r="D168" s="17"/>
      <c r="E168" s="17"/>
      <c r="F168" s="17"/>
      <c r="G168" s="17"/>
    </row>
    <row r="169" spans="2:7" ht="13.2" x14ac:dyDescent="0.25">
      <c r="B169" s="17"/>
      <c r="C169" s="17"/>
      <c r="D169" s="17"/>
      <c r="E169" s="17"/>
      <c r="F169" s="17"/>
      <c r="G169" s="17"/>
    </row>
    <row r="170" spans="2:7" ht="13.2" x14ac:dyDescent="0.25">
      <c r="B170" s="17"/>
      <c r="C170" s="17"/>
      <c r="D170" s="17"/>
      <c r="E170" s="17"/>
      <c r="F170" s="17"/>
      <c r="G170" s="17"/>
    </row>
    <row r="171" spans="2:7" ht="13.2" x14ac:dyDescent="0.25">
      <c r="B171" s="17"/>
      <c r="C171" s="17"/>
      <c r="D171" s="17"/>
      <c r="E171" s="17"/>
      <c r="F171" s="17"/>
      <c r="G171" s="17"/>
    </row>
    <row r="172" spans="2:7" ht="13.2" x14ac:dyDescent="0.25">
      <c r="B172" s="17"/>
      <c r="C172" s="17"/>
      <c r="D172" s="17"/>
      <c r="E172" s="17"/>
      <c r="F172" s="17"/>
      <c r="G172" s="17"/>
    </row>
    <row r="173" spans="2:7" ht="13.2" x14ac:dyDescent="0.25">
      <c r="B173" s="17"/>
      <c r="C173" s="17"/>
      <c r="D173" s="17"/>
      <c r="E173" s="17"/>
      <c r="F173" s="17"/>
      <c r="G173" s="17"/>
    </row>
    <row r="174" spans="2:7" ht="13.2" x14ac:dyDescent="0.25">
      <c r="B174" s="17"/>
      <c r="C174" s="17"/>
      <c r="D174" s="17"/>
      <c r="E174" s="17"/>
      <c r="F174" s="17"/>
      <c r="G174" s="17"/>
    </row>
    <row r="175" spans="2:7" ht="13.2" x14ac:dyDescent="0.25">
      <c r="B175" s="17"/>
      <c r="C175" s="17"/>
      <c r="D175" s="17"/>
      <c r="E175" s="17"/>
      <c r="F175" s="17"/>
      <c r="G175" s="17"/>
    </row>
    <row r="176" spans="2:7" ht="13.2" x14ac:dyDescent="0.25">
      <c r="B176" s="17"/>
      <c r="C176" s="17"/>
      <c r="D176" s="17"/>
      <c r="E176" s="17"/>
      <c r="F176" s="17"/>
      <c r="G176" s="17"/>
    </row>
    <row r="177" spans="2:7" ht="13.2" x14ac:dyDescent="0.25">
      <c r="B177" s="17"/>
      <c r="C177" s="17"/>
      <c r="D177" s="17"/>
      <c r="E177" s="17"/>
      <c r="F177" s="17"/>
      <c r="G177" s="17"/>
    </row>
    <row r="178" spans="2:7" ht="13.2" x14ac:dyDescent="0.25">
      <c r="B178" s="17"/>
      <c r="C178" s="17"/>
      <c r="D178" s="17"/>
      <c r="E178" s="17"/>
      <c r="F178" s="17"/>
      <c r="G178" s="17"/>
    </row>
    <row r="179" spans="2:7" ht="13.2" x14ac:dyDescent="0.25">
      <c r="B179" s="17"/>
      <c r="C179" s="17"/>
      <c r="D179" s="17"/>
      <c r="E179" s="17"/>
      <c r="F179" s="17"/>
      <c r="G179" s="17"/>
    </row>
    <row r="180" spans="2:7" ht="13.2" x14ac:dyDescent="0.25">
      <c r="B180" s="17"/>
      <c r="C180" s="17"/>
      <c r="D180" s="17"/>
      <c r="E180" s="17"/>
      <c r="F180" s="17"/>
      <c r="G180" s="17"/>
    </row>
    <row r="181" spans="2:7" ht="13.2" x14ac:dyDescent="0.25">
      <c r="B181" s="17"/>
      <c r="C181" s="17"/>
      <c r="D181" s="17"/>
      <c r="E181" s="17"/>
      <c r="F181" s="17"/>
      <c r="G181" s="17"/>
    </row>
    <row r="182" spans="2:7" ht="13.2" x14ac:dyDescent="0.25">
      <c r="B182" s="17"/>
      <c r="C182" s="17"/>
      <c r="D182" s="17"/>
      <c r="E182" s="17"/>
      <c r="F182" s="17"/>
      <c r="G182" s="17"/>
    </row>
    <row r="183" spans="2:7" ht="13.2" x14ac:dyDescent="0.25">
      <c r="B183" s="17"/>
      <c r="C183" s="17"/>
      <c r="D183" s="17"/>
      <c r="E183" s="17"/>
      <c r="F183" s="17"/>
      <c r="G183" s="17"/>
    </row>
    <row r="184" spans="2:7" ht="13.2" x14ac:dyDescent="0.25">
      <c r="B184" s="17"/>
      <c r="C184" s="17"/>
      <c r="D184" s="17"/>
      <c r="E184" s="17"/>
      <c r="F184" s="17"/>
      <c r="G184" s="17"/>
    </row>
    <row r="185" spans="2:7" ht="13.2" x14ac:dyDescent="0.25">
      <c r="B185" s="17"/>
      <c r="C185" s="17"/>
      <c r="D185" s="17"/>
      <c r="E185" s="17"/>
      <c r="F185" s="17"/>
      <c r="G185" s="17"/>
    </row>
    <row r="186" spans="2:7" ht="13.2" x14ac:dyDescent="0.25">
      <c r="B186" s="17"/>
      <c r="C186" s="17"/>
      <c r="D186" s="17"/>
      <c r="E186" s="17"/>
      <c r="F186" s="17"/>
      <c r="G186" s="17"/>
    </row>
    <row r="187" spans="2:7" ht="13.2" x14ac:dyDescent="0.25">
      <c r="B187" s="17"/>
      <c r="C187" s="17"/>
      <c r="D187" s="17"/>
      <c r="E187" s="17"/>
      <c r="F187" s="17"/>
      <c r="G187" s="17"/>
    </row>
    <row r="188" spans="2:7" ht="13.2" x14ac:dyDescent="0.25">
      <c r="B188" s="17"/>
      <c r="C188" s="17"/>
      <c r="D188" s="17"/>
      <c r="E188" s="17"/>
      <c r="F188" s="17"/>
      <c r="G188" s="17"/>
    </row>
    <row r="189" spans="2:7" ht="13.2" x14ac:dyDescent="0.25">
      <c r="B189" s="17"/>
      <c r="C189" s="17"/>
      <c r="D189" s="17"/>
      <c r="E189" s="17"/>
      <c r="F189" s="17"/>
      <c r="G189" s="17"/>
    </row>
    <row r="190" spans="2:7" ht="13.2" x14ac:dyDescent="0.25">
      <c r="B190" s="17"/>
      <c r="C190" s="17"/>
      <c r="D190" s="17"/>
      <c r="E190" s="17"/>
      <c r="F190" s="17"/>
      <c r="G190" s="17"/>
    </row>
    <row r="191" spans="2:7" ht="13.2" x14ac:dyDescent="0.25">
      <c r="B191" s="17"/>
      <c r="C191" s="17"/>
      <c r="D191" s="17"/>
      <c r="E191" s="17"/>
      <c r="F191" s="17"/>
      <c r="G191" s="17"/>
    </row>
    <row r="192" spans="2:7" ht="13.2" x14ac:dyDescent="0.25">
      <c r="B192" s="17"/>
      <c r="C192" s="17"/>
      <c r="D192" s="17"/>
      <c r="E192" s="17"/>
      <c r="F192" s="17"/>
      <c r="G192" s="17"/>
    </row>
    <row r="193" spans="2:7" ht="13.2" x14ac:dyDescent="0.25">
      <c r="B193" s="17"/>
      <c r="C193" s="17"/>
      <c r="D193" s="17"/>
      <c r="E193" s="17"/>
      <c r="F193" s="17"/>
      <c r="G193" s="17"/>
    </row>
    <row r="194" spans="2:7" ht="13.2" x14ac:dyDescent="0.25">
      <c r="B194" s="17"/>
      <c r="C194" s="17"/>
      <c r="D194" s="17"/>
      <c r="E194" s="17"/>
      <c r="F194" s="17"/>
      <c r="G194" s="17"/>
    </row>
    <row r="195" spans="2:7" ht="13.2" x14ac:dyDescent="0.25">
      <c r="B195" s="17"/>
      <c r="C195" s="17"/>
      <c r="D195" s="17"/>
      <c r="E195" s="17"/>
      <c r="F195" s="17"/>
      <c r="G195" s="17"/>
    </row>
    <row r="196" spans="2:7" ht="13.2" x14ac:dyDescent="0.25">
      <c r="B196" s="17"/>
      <c r="C196" s="17"/>
      <c r="D196" s="17"/>
      <c r="E196" s="17"/>
      <c r="F196" s="17"/>
      <c r="G196" s="17"/>
    </row>
    <row r="197" spans="2:7" ht="13.2" x14ac:dyDescent="0.25">
      <c r="B197" s="17"/>
      <c r="C197" s="17"/>
      <c r="D197" s="17"/>
      <c r="E197" s="17"/>
      <c r="F197" s="17"/>
      <c r="G197" s="17"/>
    </row>
    <row r="198" spans="2:7" ht="13.2" x14ac:dyDescent="0.25">
      <c r="B198" s="17"/>
      <c r="C198" s="17"/>
      <c r="D198" s="17"/>
      <c r="E198" s="17"/>
      <c r="F198" s="17"/>
      <c r="G198" s="17"/>
    </row>
    <row r="199" spans="2:7" ht="13.2" x14ac:dyDescent="0.25">
      <c r="B199" s="17"/>
      <c r="C199" s="17"/>
      <c r="D199" s="17"/>
      <c r="E199" s="17"/>
      <c r="F199" s="17"/>
      <c r="G199" s="17"/>
    </row>
    <row r="200" spans="2:7" ht="13.2" x14ac:dyDescent="0.25">
      <c r="B200" s="17"/>
      <c r="C200" s="17"/>
      <c r="D200" s="17"/>
      <c r="E200" s="17"/>
      <c r="F200" s="17"/>
      <c r="G200" s="17"/>
    </row>
    <row r="201" spans="2:7" ht="13.2" x14ac:dyDescent="0.25">
      <c r="B201" s="17"/>
      <c r="C201" s="17"/>
      <c r="D201" s="17"/>
      <c r="E201" s="17"/>
      <c r="F201" s="17"/>
      <c r="G201" s="17"/>
    </row>
    <row r="202" spans="2:7" ht="13.2" x14ac:dyDescent="0.25">
      <c r="B202" s="17"/>
      <c r="C202" s="17"/>
      <c r="D202" s="17"/>
      <c r="E202" s="17"/>
      <c r="F202" s="17"/>
      <c r="G202" s="17"/>
    </row>
    <row r="203" spans="2:7" ht="13.2" x14ac:dyDescent="0.25">
      <c r="B203" s="17"/>
      <c r="C203" s="17"/>
      <c r="D203" s="17"/>
      <c r="E203" s="17"/>
      <c r="F203" s="17"/>
      <c r="G203" s="17"/>
    </row>
    <row r="204" spans="2:7" ht="13.2" x14ac:dyDescent="0.25">
      <c r="B204" s="17"/>
      <c r="C204" s="17"/>
      <c r="D204" s="17"/>
      <c r="E204" s="17"/>
      <c r="F204" s="17"/>
      <c r="G204" s="17"/>
    </row>
    <row r="205" spans="2:7" ht="13.2" x14ac:dyDescent="0.25">
      <c r="B205" s="17"/>
      <c r="C205" s="17"/>
      <c r="D205" s="17"/>
      <c r="E205" s="17"/>
      <c r="F205" s="17"/>
      <c r="G205" s="17"/>
    </row>
    <row r="206" spans="2:7" ht="13.2" x14ac:dyDescent="0.25">
      <c r="B206" s="17"/>
      <c r="C206" s="17"/>
      <c r="D206" s="17"/>
      <c r="E206" s="17"/>
      <c r="F206" s="17"/>
      <c r="G206" s="17"/>
    </row>
    <row r="207" spans="2:7" ht="13.2" x14ac:dyDescent="0.25">
      <c r="B207" s="17"/>
      <c r="C207" s="17"/>
      <c r="D207" s="17"/>
      <c r="E207" s="17"/>
      <c r="F207" s="17"/>
      <c r="G207" s="17"/>
    </row>
    <row r="208" spans="2:7" ht="13.2" x14ac:dyDescent="0.25">
      <c r="B208" s="17"/>
      <c r="C208" s="17"/>
      <c r="D208" s="17"/>
      <c r="E208" s="17"/>
      <c r="F208" s="17"/>
      <c r="G208" s="17"/>
    </row>
    <row r="209" spans="2:7" ht="13.2" x14ac:dyDescent="0.25">
      <c r="B209" s="17"/>
      <c r="C209" s="17"/>
      <c r="D209" s="17"/>
      <c r="E209" s="17"/>
      <c r="F209" s="17"/>
      <c r="G209" s="17"/>
    </row>
    <row r="210" spans="2:7" ht="13.2" x14ac:dyDescent="0.25">
      <c r="B210" s="17"/>
      <c r="C210" s="17"/>
      <c r="D210" s="17"/>
      <c r="E210" s="17"/>
      <c r="F210" s="17"/>
      <c r="G210" s="17"/>
    </row>
    <row r="211" spans="2:7" ht="13.2" x14ac:dyDescent="0.25">
      <c r="B211" s="17"/>
      <c r="C211" s="17"/>
      <c r="D211" s="17"/>
      <c r="E211" s="17"/>
      <c r="F211" s="17"/>
      <c r="G211" s="17"/>
    </row>
    <row r="212" spans="2:7" ht="13.2" x14ac:dyDescent="0.25">
      <c r="B212" s="17"/>
      <c r="C212" s="17"/>
      <c r="D212" s="17"/>
      <c r="E212" s="17"/>
      <c r="F212" s="17"/>
      <c r="G212" s="17"/>
    </row>
    <row r="213" spans="2:7" ht="13.2" x14ac:dyDescent="0.25">
      <c r="B213" s="17"/>
      <c r="C213" s="17"/>
      <c r="D213" s="17"/>
      <c r="E213" s="17"/>
      <c r="F213" s="17"/>
      <c r="G213" s="17"/>
    </row>
    <row r="214" spans="2:7" ht="13.2" x14ac:dyDescent="0.25">
      <c r="B214" s="17"/>
      <c r="C214" s="17"/>
      <c r="D214" s="17"/>
      <c r="E214" s="17"/>
      <c r="F214" s="17"/>
      <c r="G214" s="17"/>
    </row>
    <row r="215" spans="2:7" ht="13.2" x14ac:dyDescent="0.25">
      <c r="B215" s="17"/>
      <c r="C215" s="17"/>
      <c r="D215" s="17"/>
      <c r="E215" s="17"/>
      <c r="F215" s="17"/>
      <c r="G215" s="17"/>
    </row>
    <row r="216" spans="2:7" ht="13.2" x14ac:dyDescent="0.25">
      <c r="B216" s="17"/>
      <c r="C216" s="17"/>
      <c r="D216" s="17"/>
      <c r="E216" s="17"/>
      <c r="F216" s="17"/>
      <c r="G216" s="17"/>
    </row>
    <row r="217" spans="2:7" ht="13.2" x14ac:dyDescent="0.25">
      <c r="B217" s="17"/>
      <c r="C217" s="17"/>
      <c r="D217" s="17"/>
      <c r="E217" s="17"/>
      <c r="F217" s="17"/>
      <c r="G217" s="17"/>
    </row>
    <row r="218" spans="2:7" ht="13.2" x14ac:dyDescent="0.25">
      <c r="B218" s="17"/>
      <c r="C218" s="17"/>
      <c r="D218" s="17"/>
      <c r="E218" s="17"/>
      <c r="F218" s="17"/>
      <c r="G218" s="17"/>
    </row>
    <row r="219" spans="2:7" ht="13.2" x14ac:dyDescent="0.25">
      <c r="B219" s="17"/>
      <c r="C219" s="17"/>
      <c r="D219" s="17"/>
      <c r="E219" s="17"/>
      <c r="F219" s="17"/>
      <c r="G219" s="17"/>
    </row>
    <row r="220" spans="2:7" ht="13.2" x14ac:dyDescent="0.25">
      <c r="B220" s="17"/>
      <c r="C220" s="17"/>
      <c r="D220" s="17"/>
      <c r="E220" s="17"/>
      <c r="F220" s="17"/>
      <c r="G220" s="17"/>
    </row>
    <row r="221" spans="2:7" ht="13.2" x14ac:dyDescent="0.25">
      <c r="B221" s="17"/>
      <c r="C221" s="17"/>
      <c r="D221" s="17"/>
      <c r="E221" s="17"/>
      <c r="F221" s="17"/>
      <c r="G221" s="17"/>
    </row>
    <row r="222" spans="2:7" ht="13.2" x14ac:dyDescent="0.25">
      <c r="B222" s="17"/>
      <c r="C222" s="17"/>
      <c r="D222" s="17"/>
      <c r="E222" s="17"/>
      <c r="F222" s="17"/>
      <c r="G222" s="17"/>
    </row>
    <row r="223" spans="2:7" ht="13.2" x14ac:dyDescent="0.25">
      <c r="B223" s="17"/>
      <c r="C223" s="17"/>
      <c r="D223" s="17"/>
      <c r="E223" s="17"/>
      <c r="F223" s="17"/>
      <c r="G223" s="17"/>
    </row>
    <row r="224" spans="2:7" ht="13.2" x14ac:dyDescent="0.25">
      <c r="B224" s="17"/>
      <c r="C224" s="17"/>
      <c r="D224" s="17"/>
      <c r="E224" s="17"/>
      <c r="F224" s="17"/>
      <c r="G224" s="17"/>
    </row>
    <row r="225" spans="2:7" ht="13.2" x14ac:dyDescent="0.25">
      <c r="B225" s="17"/>
      <c r="C225" s="17"/>
      <c r="D225" s="17"/>
      <c r="E225" s="17"/>
      <c r="F225" s="17"/>
      <c r="G225" s="17"/>
    </row>
    <row r="226" spans="2:7" ht="13.2" x14ac:dyDescent="0.25">
      <c r="B226" s="17"/>
      <c r="C226" s="17"/>
      <c r="D226" s="17"/>
      <c r="E226" s="17"/>
      <c r="F226" s="17"/>
      <c r="G226" s="17"/>
    </row>
    <row r="227" spans="2:7" ht="13.2" x14ac:dyDescent="0.25">
      <c r="B227" s="17"/>
      <c r="C227" s="17"/>
      <c r="D227" s="17"/>
      <c r="E227" s="17"/>
      <c r="F227" s="17"/>
      <c r="G227" s="17"/>
    </row>
    <row r="228" spans="2:7" ht="13.2" x14ac:dyDescent="0.25">
      <c r="B228" s="17"/>
      <c r="C228" s="17"/>
      <c r="D228" s="17"/>
      <c r="E228" s="17"/>
      <c r="F228" s="17"/>
      <c r="G228" s="17"/>
    </row>
    <row r="229" spans="2:7" ht="13.2" x14ac:dyDescent="0.25">
      <c r="B229" s="17"/>
      <c r="C229" s="17"/>
      <c r="D229" s="17"/>
      <c r="E229" s="17"/>
      <c r="F229" s="17"/>
      <c r="G229" s="17"/>
    </row>
    <row r="230" spans="2:7" ht="13.2" x14ac:dyDescent="0.25">
      <c r="B230" s="17"/>
      <c r="C230" s="17"/>
      <c r="D230" s="17"/>
      <c r="E230" s="17"/>
      <c r="F230" s="17"/>
      <c r="G230" s="17"/>
    </row>
    <row r="231" spans="2:7" ht="13.2" x14ac:dyDescent="0.25">
      <c r="B231" s="17"/>
      <c r="C231" s="17"/>
      <c r="D231" s="17"/>
      <c r="E231" s="17"/>
      <c r="F231" s="17"/>
      <c r="G231" s="17"/>
    </row>
    <row r="232" spans="2:7" ht="13.2" x14ac:dyDescent="0.25">
      <c r="B232" s="17"/>
      <c r="C232" s="17"/>
      <c r="D232" s="17"/>
      <c r="E232" s="17"/>
      <c r="F232" s="17"/>
      <c r="G232" s="17"/>
    </row>
    <row r="233" spans="2:7" ht="13.2" x14ac:dyDescent="0.25">
      <c r="B233" s="17"/>
      <c r="C233" s="17"/>
      <c r="D233" s="17"/>
      <c r="E233" s="17"/>
      <c r="F233" s="17"/>
      <c r="G233" s="17"/>
    </row>
    <row r="234" spans="2:7" ht="13.2" x14ac:dyDescent="0.25">
      <c r="B234" s="17"/>
      <c r="C234" s="17"/>
      <c r="D234" s="17"/>
      <c r="E234" s="17"/>
      <c r="F234" s="17"/>
      <c r="G234" s="17"/>
    </row>
    <row r="235" spans="2:7" ht="13.2" x14ac:dyDescent="0.25">
      <c r="B235" s="17"/>
      <c r="C235" s="17"/>
      <c r="D235" s="17"/>
      <c r="E235" s="17"/>
      <c r="F235" s="17"/>
      <c r="G235" s="17"/>
    </row>
    <row r="236" spans="2:7" ht="13.2" x14ac:dyDescent="0.25">
      <c r="B236" s="17"/>
      <c r="C236" s="17"/>
      <c r="D236" s="17"/>
      <c r="E236" s="17"/>
      <c r="F236" s="17"/>
      <c r="G236" s="17"/>
    </row>
    <row r="237" spans="2:7" ht="13.2" x14ac:dyDescent="0.25">
      <c r="B237" s="17"/>
      <c r="C237" s="17"/>
      <c r="D237" s="17"/>
      <c r="E237" s="17"/>
      <c r="F237" s="17"/>
      <c r="G237" s="17"/>
    </row>
    <row r="238" spans="2:7" ht="13.2" x14ac:dyDescent="0.25">
      <c r="B238" s="17"/>
      <c r="C238" s="17"/>
      <c r="D238" s="17"/>
      <c r="E238" s="17"/>
      <c r="F238" s="17"/>
      <c r="G238" s="17"/>
    </row>
    <row r="239" spans="2:7" ht="13.2" x14ac:dyDescent="0.25">
      <c r="B239" s="17"/>
      <c r="C239" s="17"/>
      <c r="D239" s="17"/>
      <c r="E239" s="17"/>
      <c r="F239" s="17"/>
      <c r="G239" s="17"/>
    </row>
    <row r="240" spans="2:7" ht="13.2" x14ac:dyDescent="0.25">
      <c r="B240" s="17"/>
      <c r="C240" s="17"/>
      <c r="D240" s="17"/>
      <c r="E240" s="17"/>
      <c r="F240" s="17"/>
      <c r="G240" s="17"/>
    </row>
    <row r="241" spans="2:7" ht="13.2" x14ac:dyDescent="0.25">
      <c r="B241" s="17"/>
      <c r="C241" s="17"/>
      <c r="D241" s="17"/>
      <c r="E241" s="17"/>
      <c r="F241" s="17"/>
      <c r="G241" s="17"/>
    </row>
    <row r="242" spans="2:7" ht="13.2" x14ac:dyDescent="0.25">
      <c r="B242" s="17"/>
      <c r="C242" s="17"/>
      <c r="D242" s="17"/>
      <c r="E242" s="17"/>
      <c r="F242" s="17"/>
      <c r="G242" s="17"/>
    </row>
    <row r="243" spans="2:7" ht="13.2" x14ac:dyDescent="0.25">
      <c r="B243" s="17"/>
      <c r="C243" s="17"/>
      <c r="D243" s="17"/>
      <c r="E243" s="17"/>
      <c r="F243" s="17"/>
      <c r="G243" s="17"/>
    </row>
    <row r="244" spans="2:7" ht="13.2" x14ac:dyDescent="0.25">
      <c r="B244" s="17"/>
      <c r="C244" s="17"/>
      <c r="D244" s="17"/>
      <c r="E244" s="17"/>
      <c r="F244" s="17"/>
      <c r="G244" s="17"/>
    </row>
    <row r="245" spans="2:7" ht="13.2" x14ac:dyDescent="0.25">
      <c r="B245" s="17"/>
      <c r="C245" s="17"/>
      <c r="D245" s="17"/>
      <c r="E245" s="17"/>
      <c r="F245" s="17"/>
      <c r="G245" s="17"/>
    </row>
    <row r="246" spans="2:7" ht="13.2" x14ac:dyDescent="0.25">
      <c r="B246" s="17"/>
      <c r="C246" s="17"/>
      <c r="D246" s="17"/>
      <c r="E246" s="17"/>
      <c r="F246" s="17"/>
      <c r="G246" s="17"/>
    </row>
    <row r="247" spans="2:7" ht="13.2" x14ac:dyDescent="0.25">
      <c r="B247" s="17"/>
      <c r="C247" s="17"/>
      <c r="D247" s="17"/>
      <c r="E247" s="17"/>
      <c r="F247" s="17"/>
      <c r="G247" s="17"/>
    </row>
    <row r="248" spans="2:7" ht="13.2" x14ac:dyDescent="0.25">
      <c r="B248" s="17"/>
      <c r="C248" s="17"/>
      <c r="D248" s="17"/>
      <c r="E248" s="17"/>
      <c r="F248" s="17"/>
      <c r="G248" s="17"/>
    </row>
    <row r="249" spans="2:7" ht="13.2" x14ac:dyDescent="0.25">
      <c r="B249" s="17"/>
      <c r="C249" s="17"/>
      <c r="D249" s="17"/>
      <c r="E249" s="17"/>
      <c r="F249" s="17"/>
      <c r="G249" s="17"/>
    </row>
    <row r="250" spans="2:7" ht="13.2" x14ac:dyDescent="0.25">
      <c r="B250" s="17"/>
      <c r="C250" s="17"/>
      <c r="D250" s="17"/>
      <c r="E250" s="17"/>
      <c r="F250" s="17"/>
      <c r="G250" s="17"/>
    </row>
    <row r="251" spans="2:7" ht="13.2" x14ac:dyDescent="0.25">
      <c r="B251" s="17"/>
      <c r="C251" s="17"/>
      <c r="D251" s="17"/>
      <c r="E251" s="17"/>
      <c r="F251" s="17"/>
      <c r="G251" s="17"/>
    </row>
    <row r="252" spans="2:7" ht="13.2" x14ac:dyDescent="0.25">
      <c r="B252" s="17"/>
      <c r="C252" s="17"/>
      <c r="D252" s="17"/>
      <c r="E252" s="17"/>
      <c r="F252" s="17"/>
      <c r="G252" s="17"/>
    </row>
    <row r="253" spans="2:7" ht="13.2" x14ac:dyDescent="0.25">
      <c r="B253" s="17"/>
      <c r="C253" s="17"/>
      <c r="D253" s="17"/>
      <c r="E253" s="17"/>
      <c r="F253" s="17"/>
      <c r="G253" s="17"/>
    </row>
    <row r="254" spans="2:7" ht="13.2" x14ac:dyDescent="0.25">
      <c r="B254" s="17"/>
      <c r="C254" s="17"/>
      <c r="D254" s="17"/>
      <c r="E254" s="17"/>
      <c r="F254" s="17"/>
      <c r="G254" s="17"/>
    </row>
    <row r="255" spans="2:7" ht="13.2" x14ac:dyDescent="0.25">
      <c r="B255" s="17"/>
      <c r="C255" s="17"/>
      <c r="D255" s="17"/>
      <c r="E255" s="17"/>
      <c r="F255" s="17"/>
      <c r="G255" s="17"/>
    </row>
    <row r="256" spans="2:7" ht="13.2" x14ac:dyDescent="0.25">
      <c r="B256" s="17"/>
      <c r="C256" s="17"/>
      <c r="D256" s="17"/>
      <c r="E256" s="17"/>
      <c r="F256" s="17"/>
      <c r="G256" s="17"/>
    </row>
    <row r="257" spans="2:7" ht="13.2" x14ac:dyDescent="0.25">
      <c r="B257" s="17"/>
      <c r="C257" s="17"/>
      <c r="D257" s="17"/>
      <c r="E257" s="17"/>
      <c r="F257" s="17"/>
      <c r="G257" s="17"/>
    </row>
    <row r="258" spans="2:7" ht="13.2" x14ac:dyDescent="0.25">
      <c r="B258" s="17"/>
      <c r="C258" s="17"/>
      <c r="D258" s="17"/>
      <c r="E258" s="17"/>
      <c r="F258" s="17"/>
      <c r="G258" s="17"/>
    </row>
    <row r="259" spans="2:7" ht="13.2" x14ac:dyDescent="0.25">
      <c r="B259" s="17"/>
      <c r="C259" s="17"/>
      <c r="D259" s="17"/>
      <c r="E259" s="17"/>
      <c r="F259" s="17"/>
      <c r="G259" s="17"/>
    </row>
    <row r="260" spans="2:7" ht="13.2" x14ac:dyDescent="0.25">
      <c r="B260" s="17"/>
      <c r="C260" s="17"/>
      <c r="D260" s="17"/>
      <c r="E260" s="17"/>
      <c r="F260" s="17"/>
      <c r="G260" s="17"/>
    </row>
    <row r="261" spans="2:7" ht="13.2" x14ac:dyDescent="0.25">
      <c r="B261" s="17"/>
      <c r="C261" s="17"/>
      <c r="D261" s="17"/>
      <c r="E261" s="17"/>
      <c r="F261" s="17"/>
      <c r="G261" s="17"/>
    </row>
    <row r="262" spans="2:7" ht="13.2" x14ac:dyDescent="0.25">
      <c r="B262" s="17"/>
      <c r="C262" s="17"/>
      <c r="D262" s="17"/>
      <c r="E262" s="17"/>
      <c r="F262" s="17"/>
      <c r="G262" s="17"/>
    </row>
    <row r="263" spans="2:7" ht="13.2" x14ac:dyDescent="0.25">
      <c r="B263" s="17"/>
      <c r="C263" s="17"/>
      <c r="D263" s="17"/>
      <c r="E263" s="17"/>
      <c r="F263" s="17"/>
      <c r="G263" s="17"/>
    </row>
    <row r="264" spans="2:7" ht="13.2" x14ac:dyDescent="0.25">
      <c r="B264" s="17"/>
      <c r="C264" s="17"/>
      <c r="D264" s="17"/>
      <c r="E264" s="17"/>
      <c r="F264" s="17"/>
      <c r="G264" s="17"/>
    </row>
    <row r="265" spans="2:7" ht="13.2" x14ac:dyDescent="0.25">
      <c r="B265" s="17"/>
      <c r="C265" s="17"/>
      <c r="D265" s="17"/>
      <c r="E265" s="17"/>
      <c r="F265" s="17"/>
      <c r="G265" s="17"/>
    </row>
    <row r="266" spans="2:7" ht="13.2" x14ac:dyDescent="0.25">
      <c r="B266" s="17"/>
      <c r="C266" s="17"/>
      <c r="D266" s="17"/>
      <c r="E266" s="17"/>
      <c r="F266" s="17"/>
      <c r="G266" s="17"/>
    </row>
    <row r="267" spans="2:7" ht="13.2" x14ac:dyDescent="0.25">
      <c r="B267" s="17"/>
      <c r="C267" s="17"/>
      <c r="D267" s="17"/>
      <c r="E267" s="17"/>
      <c r="F267" s="17"/>
      <c r="G267" s="17"/>
    </row>
    <row r="268" spans="2:7" ht="13.2" x14ac:dyDescent="0.25">
      <c r="B268" s="17"/>
      <c r="C268" s="17"/>
      <c r="D268" s="17"/>
      <c r="E268" s="17"/>
      <c r="F268" s="17"/>
      <c r="G268" s="17"/>
    </row>
    <row r="269" spans="2:7" ht="13.2" x14ac:dyDescent="0.25">
      <c r="B269" s="17"/>
      <c r="C269" s="17"/>
      <c r="D269" s="17"/>
      <c r="E269" s="17"/>
      <c r="F269" s="17"/>
      <c r="G269" s="17"/>
    </row>
    <row r="270" spans="2:7" ht="13.2" x14ac:dyDescent="0.25">
      <c r="B270" s="17"/>
      <c r="C270" s="17"/>
      <c r="D270" s="17"/>
      <c r="E270" s="17"/>
      <c r="F270" s="17"/>
      <c r="G270" s="17"/>
    </row>
    <row r="271" spans="2:7" ht="13.2" x14ac:dyDescent="0.25">
      <c r="B271" s="17"/>
      <c r="C271" s="17"/>
      <c r="D271" s="17"/>
      <c r="E271" s="17"/>
      <c r="F271" s="17"/>
      <c r="G271" s="17"/>
    </row>
    <row r="272" spans="2:7" ht="13.2" x14ac:dyDescent="0.25">
      <c r="B272" s="17"/>
      <c r="C272" s="17"/>
      <c r="D272" s="17"/>
      <c r="E272" s="17"/>
      <c r="F272" s="17"/>
      <c r="G272" s="17"/>
    </row>
    <row r="273" spans="2:7" ht="13.2" x14ac:dyDescent="0.25">
      <c r="B273" s="17"/>
      <c r="C273" s="17"/>
      <c r="D273" s="17"/>
      <c r="E273" s="17"/>
      <c r="F273" s="17"/>
      <c r="G273" s="17"/>
    </row>
    <row r="274" spans="2:7" ht="13.2" x14ac:dyDescent="0.25">
      <c r="B274" s="17"/>
      <c r="C274" s="17"/>
      <c r="D274" s="17"/>
      <c r="E274" s="17"/>
      <c r="F274" s="17"/>
      <c r="G274" s="17"/>
    </row>
    <row r="275" spans="2:7" ht="13.2" x14ac:dyDescent="0.25">
      <c r="B275" s="17"/>
      <c r="C275" s="17"/>
      <c r="D275" s="17"/>
      <c r="E275" s="17"/>
      <c r="F275" s="17"/>
      <c r="G275" s="17"/>
    </row>
    <row r="276" spans="2:7" ht="13.2" x14ac:dyDescent="0.25">
      <c r="B276" s="17"/>
      <c r="C276" s="17"/>
      <c r="D276" s="17"/>
      <c r="E276" s="17"/>
      <c r="F276" s="17"/>
      <c r="G276" s="17"/>
    </row>
    <row r="277" spans="2:7" ht="13.2" x14ac:dyDescent="0.25">
      <c r="B277" s="17"/>
      <c r="C277" s="17"/>
      <c r="D277" s="17"/>
      <c r="E277" s="17"/>
      <c r="F277" s="17"/>
      <c r="G277" s="17"/>
    </row>
    <row r="278" spans="2:7" ht="13.2" x14ac:dyDescent="0.25">
      <c r="B278" s="17"/>
      <c r="C278" s="17"/>
      <c r="D278" s="17"/>
      <c r="E278" s="17"/>
      <c r="F278" s="17"/>
      <c r="G278" s="17"/>
    </row>
    <row r="279" spans="2:7" ht="13.2" x14ac:dyDescent="0.25">
      <c r="B279" s="17"/>
      <c r="C279" s="17"/>
      <c r="D279" s="17"/>
      <c r="E279" s="17"/>
      <c r="F279" s="17"/>
      <c r="G279" s="17"/>
    </row>
    <row r="280" spans="2:7" ht="13.2" x14ac:dyDescent="0.25">
      <c r="B280" s="17"/>
      <c r="C280" s="17"/>
      <c r="D280" s="17"/>
      <c r="E280" s="17"/>
      <c r="F280" s="17"/>
      <c r="G280" s="17"/>
    </row>
    <row r="281" spans="2:7" ht="13.2" x14ac:dyDescent="0.25">
      <c r="B281" s="17"/>
      <c r="C281" s="17"/>
      <c r="D281" s="17"/>
      <c r="E281" s="17"/>
      <c r="F281" s="17"/>
      <c r="G281" s="17"/>
    </row>
    <row r="282" spans="2:7" ht="13.2" x14ac:dyDescent="0.25">
      <c r="B282" s="17"/>
      <c r="C282" s="17"/>
      <c r="D282" s="17"/>
      <c r="E282" s="17"/>
      <c r="F282" s="17"/>
      <c r="G282" s="17"/>
    </row>
    <row r="283" spans="2:7" ht="13.2" x14ac:dyDescent="0.25">
      <c r="B283" s="17"/>
      <c r="C283" s="17"/>
      <c r="D283" s="17"/>
      <c r="E283" s="17"/>
      <c r="F283" s="17"/>
      <c r="G283" s="17"/>
    </row>
    <row r="284" spans="2:7" ht="13.2" x14ac:dyDescent="0.25">
      <c r="B284" s="17"/>
      <c r="C284" s="17"/>
      <c r="D284" s="17"/>
      <c r="E284" s="17"/>
      <c r="F284" s="17"/>
      <c r="G284" s="17"/>
    </row>
    <row r="285" spans="2:7" ht="13.2" x14ac:dyDescent="0.25">
      <c r="B285" s="17"/>
      <c r="C285" s="17"/>
      <c r="D285" s="17"/>
      <c r="E285" s="17"/>
      <c r="F285" s="17"/>
      <c r="G285" s="17"/>
    </row>
    <row r="286" spans="2:7" ht="13.2" x14ac:dyDescent="0.25">
      <c r="B286" s="17"/>
      <c r="C286" s="17"/>
      <c r="D286" s="17"/>
      <c r="E286" s="17"/>
      <c r="F286" s="17"/>
      <c r="G286" s="17"/>
    </row>
    <row r="287" spans="2:7" ht="13.2" x14ac:dyDescent="0.25">
      <c r="B287" s="17"/>
      <c r="C287" s="17"/>
      <c r="D287" s="17"/>
      <c r="E287" s="17"/>
      <c r="F287" s="17"/>
      <c r="G287" s="17"/>
    </row>
    <row r="288" spans="2:7" ht="13.2" x14ac:dyDescent="0.25">
      <c r="B288" s="17"/>
      <c r="C288" s="17"/>
      <c r="D288" s="17"/>
      <c r="E288" s="17"/>
      <c r="F288" s="17"/>
      <c r="G288" s="17"/>
    </row>
    <row r="289" spans="2:7" ht="13.2" x14ac:dyDescent="0.25">
      <c r="B289" s="17"/>
      <c r="C289" s="17"/>
      <c r="D289" s="17"/>
      <c r="E289" s="17"/>
      <c r="F289" s="17"/>
      <c r="G289" s="17"/>
    </row>
    <row r="290" spans="2:7" ht="13.2" x14ac:dyDescent="0.25">
      <c r="B290" s="17"/>
      <c r="C290" s="17"/>
      <c r="D290" s="17"/>
      <c r="E290" s="17"/>
      <c r="F290" s="17"/>
      <c r="G290" s="17"/>
    </row>
    <row r="291" spans="2:7" ht="13.2" x14ac:dyDescent="0.25">
      <c r="B291" s="17"/>
      <c r="C291" s="17"/>
      <c r="D291" s="17"/>
      <c r="E291" s="17"/>
      <c r="F291" s="17"/>
      <c r="G291" s="17"/>
    </row>
    <row r="292" spans="2:7" ht="13.2" x14ac:dyDescent="0.25">
      <c r="B292" s="17"/>
      <c r="C292" s="17"/>
      <c r="D292" s="17"/>
      <c r="E292" s="17"/>
      <c r="F292" s="17"/>
      <c r="G292" s="17"/>
    </row>
    <row r="293" spans="2:7" ht="13.2" x14ac:dyDescent="0.25">
      <c r="B293" s="17"/>
      <c r="C293" s="17"/>
      <c r="D293" s="17"/>
      <c r="E293" s="17"/>
      <c r="F293" s="17"/>
      <c r="G293" s="17"/>
    </row>
    <row r="294" spans="2:7" ht="13.2" x14ac:dyDescent="0.25">
      <c r="B294" s="17"/>
      <c r="C294" s="17"/>
      <c r="D294" s="17"/>
      <c r="E294" s="17"/>
      <c r="F294" s="17"/>
      <c r="G294" s="17"/>
    </row>
    <row r="295" spans="2:7" ht="13.2" x14ac:dyDescent="0.25">
      <c r="B295" s="17"/>
      <c r="C295" s="17"/>
      <c r="D295" s="17"/>
      <c r="E295" s="17"/>
      <c r="F295" s="17"/>
      <c r="G295" s="17"/>
    </row>
    <row r="296" spans="2:7" ht="13.2" x14ac:dyDescent="0.25">
      <c r="B296" s="17"/>
      <c r="C296" s="17"/>
      <c r="D296" s="17"/>
      <c r="E296" s="17"/>
      <c r="F296" s="17"/>
      <c r="G296" s="17"/>
    </row>
    <row r="297" spans="2:7" ht="13.2" x14ac:dyDescent="0.25">
      <c r="B297" s="17"/>
      <c r="C297" s="17"/>
      <c r="D297" s="17"/>
      <c r="E297" s="17"/>
      <c r="F297" s="17"/>
      <c r="G297" s="17"/>
    </row>
    <row r="298" spans="2:7" ht="13.2" x14ac:dyDescent="0.25">
      <c r="B298" s="17"/>
      <c r="C298" s="17"/>
      <c r="D298" s="17"/>
      <c r="E298" s="17"/>
      <c r="F298" s="17"/>
      <c r="G298" s="17"/>
    </row>
    <row r="299" spans="2:7" ht="13.2" x14ac:dyDescent="0.25">
      <c r="B299" s="17"/>
      <c r="C299" s="17"/>
      <c r="D299" s="17"/>
      <c r="E299" s="17"/>
      <c r="F299" s="17"/>
      <c r="G299" s="17"/>
    </row>
    <row r="300" spans="2:7" ht="13.2" x14ac:dyDescent="0.25">
      <c r="B300" s="17"/>
      <c r="C300" s="17"/>
      <c r="D300" s="17"/>
      <c r="E300" s="17"/>
      <c r="F300" s="17"/>
      <c r="G300" s="17"/>
    </row>
    <row r="301" spans="2:7" ht="13.2" x14ac:dyDescent="0.25">
      <c r="B301" s="17"/>
      <c r="C301" s="17"/>
      <c r="D301" s="17"/>
      <c r="E301" s="17"/>
      <c r="F301" s="17"/>
      <c r="G301" s="17"/>
    </row>
    <row r="302" spans="2:7" ht="13.2" x14ac:dyDescent="0.25">
      <c r="B302" s="17"/>
      <c r="C302" s="17"/>
      <c r="D302" s="17"/>
      <c r="E302" s="17"/>
      <c r="F302" s="17"/>
      <c r="G302" s="17"/>
    </row>
    <row r="303" spans="2:7" ht="13.2" x14ac:dyDescent="0.25">
      <c r="B303" s="17"/>
      <c r="C303" s="17"/>
      <c r="D303" s="17"/>
      <c r="E303" s="17"/>
      <c r="F303" s="17"/>
      <c r="G303" s="17"/>
    </row>
    <row r="304" spans="2:7" ht="13.2" x14ac:dyDescent="0.25">
      <c r="B304" s="17"/>
      <c r="C304" s="17"/>
      <c r="D304" s="17"/>
      <c r="E304" s="17"/>
      <c r="F304" s="17"/>
      <c r="G304" s="17"/>
    </row>
    <row r="305" spans="2:7" ht="13.2" x14ac:dyDescent="0.25">
      <c r="B305" s="17"/>
      <c r="C305" s="17"/>
      <c r="D305" s="17"/>
      <c r="E305" s="17"/>
      <c r="F305" s="17"/>
      <c r="G305" s="17"/>
    </row>
    <row r="306" spans="2:7" ht="13.2" x14ac:dyDescent="0.25">
      <c r="B306" s="17"/>
      <c r="C306" s="17"/>
      <c r="D306" s="17"/>
      <c r="E306" s="17"/>
      <c r="F306" s="17"/>
      <c r="G306" s="17"/>
    </row>
    <row r="307" spans="2:7" ht="13.2" x14ac:dyDescent="0.25">
      <c r="B307" s="17"/>
      <c r="C307" s="17"/>
      <c r="D307" s="17"/>
      <c r="E307" s="17"/>
      <c r="F307" s="17"/>
      <c r="G307" s="17"/>
    </row>
    <row r="308" spans="2:7" ht="13.2" x14ac:dyDescent="0.25">
      <c r="B308" s="17"/>
      <c r="C308" s="17"/>
      <c r="D308" s="17"/>
      <c r="E308" s="17"/>
      <c r="F308" s="17"/>
      <c r="G308" s="17"/>
    </row>
    <row r="309" spans="2:7" ht="13.2" x14ac:dyDescent="0.25">
      <c r="B309" s="17"/>
      <c r="C309" s="17"/>
      <c r="D309" s="17"/>
      <c r="E309" s="17"/>
      <c r="F309" s="17"/>
      <c r="G309" s="17"/>
    </row>
    <row r="310" spans="2:7" ht="13.2" x14ac:dyDescent="0.25">
      <c r="B310" s="17"/>
      <c r="C310" s="17"/>
      <c r="D310" s="17"/>
      <c r="E310" s="17"/>
      <c r="F310" s="17"/>
      <c r="G310" s="17"/>
    </row>
    <row r="311" spans="2:7" ht="13.2" x14ac:dyDescent="0.25">
      <c r="B311" s="17"/>
      <c r="C311" s="17"/>
      <c r="D311" s="17"/>
      <c r="E311" s="17"/>
      <c r="F311" s="17"/>
      <c r="G311" s="17"/>
    </row>
    <row r="312" spans="2:7" ht="13.2" x14ac:dyDescent="0.25">
      <c r="B312" s="17"/>
      <c r="C312" s="17"/>
      <c r="D312" s="17"/>
      <c r="E312" s="17"/>
      <c r="F312" s="17"/>
      <c r="G312" s="17"/>
    </row>
    <row r="313" spans="2:7" ht="13.2" x14ac:dyDescent="0.25">
      <c r="B313" s="17"/>
      <c r="C313" s="17"/>
      <c r="D313" s="17"/>
      <c r="E313" s="17"/>
      <c r="F313" s="17"/>
      <c r="G313" s="17"/>
    </row>
    <row r="314" spans="2:7" ht="13.2" x14ac:dyDescent="0.25">
      <c r="B314" s="17"/>
      <c r="C314" s="17"/>
      <c r="D314" s="17"/>
      <c r="E314" s="17"/>
      <c r="F314" s="17"/>
      <c r="G314" s="17"/>
    </row>
    <row r="315" spans="2:7" ht="13.2" x14ac:dyDescent="0.25">
      <c r="B315" s="17"/>
      <c r="C315" s="17"/>
      <c r="D315" s="17"/>
      <c r="E315" s="17"/>
      <c r="F315" s="17"/>
      <c r="G315" s="17"/>
    </row>
    <row r="316" spans="2:7" ht="13.2" x14ac:dyDescent="0.25">
      <c r="B316" s="17"/>
      <c r="C316" s="17"/>
      <c r="D316" s="17"/>
      <c r="E316" s="17"/>
      <c r="F316" s="17"/>
      <c r="G316" s="17"/>
    </row>
    <row r="317" spans="2:7" ht="13.2" x14ac:dyDescent="0.25">
      <c r="B317" s="17"/>
      <c r="C317" s="17"/>
      <c r="D317" s="17"/>
      <c r="E317" s="17"/>
      <c r="F317" s="17"/>
      <c r="G317" s="17"/>
    </row>
    <row r="318" spans="2:7" ht="13.2" x14ac:dyDescent="0.25">
      <c r="B318" s="17"/>
      <c r="C318" s="17"/>
      <c r="D318" s="17"/>
      <c r="E318" s="17"/>
      <c r="F318" s="17"/>
      <c r="G318" s="17"/>
    </row>
    <row r="319" spans="2:7" ht="13.2" x14ac:dyDescent="0.25">
      <c r="B319" s="17"/>
      <c r="C319" s="17"/>
      <c r="D319" s="17"/>
      <c r="E319" s="17"/>
      <c r="F319" s="17"/>
      <c r="G319" s="17"/>
    </row>
    <row r="320" spans="2:7" ht="13.2" x14ac:dyDescent="0.25">
      <c r="B320" s="17"/>
      <c r="C320" s="17"/>
      <c r="D320" s="17"/>
      <c r="E320" s="17"/>
      <c r="F320" s="17"/>
      <c r="G320" s="17"/>
    </row>
    <row r="321" spans="2:7" ht="13.2" x14ac:dyDescent="0.25">
      <c r="B321" s="17"/>
      <c r="C321" s="17"/>
      <c r="D321" s="17"/>
      <c r="E321" s="17"/>
      <c r="F321" s="17"/>
      <c r="G321" s="17"/>
    </row>
    <row r="322" spans="2:7" ht="13.2" x14ac:dyDescent="0.25">
      <c r="B322" s="17"/>
      <c r="C322" s="17"/>
      <c r="D322" s="17"/>
      <c r="E322" s="17"/>
      <c r="F322" s="17"/>
      <c r="G322" s="17"/>
    </row>
    <row r="323" spans="2:7" ht="13.2" x14ac:dyDescent="0.25">
      <c r="B323" s="17"/>
      <c r="C323" s="17"/>
      <c r="D323" s="17"/>
      <c r="E323" s="17"/>
      <c r="F323" s="17"/>
      <c r="G323" s="17"/>
    </row>
    <row r="324" spans="2:7" ht="13.2" x14ac:dyDescent="0.25">
      <c r="B324" s="17"/>
      <c r="C324" s="17"/>
      <c r="D324" s="17"/>
      <c r="E324" s="17"/>
      <c r="F324" s="17"/>
      <c r="G324" s="17"/>
    </row>
    <row r="325" spans="2:7" ht="13.2" x14ac:dyDescent="0.25">
      <c r="B325" s="17"/>
      <c r="C325" s="17"/>
      <c r="D325" s="17"/>
      <c r="E325" s="17"/>
      <c r="F325" s="17"/>
      <c r="G325" s="17"/>
    </row>
    <row r="326" spans="2:7" ht="13.2" x14ac:dyDescent="0.25">
      <c r="B326" s="17"/>
      <c r="C326" s="17"/>
      <c r="D326" s="17"/>
      <c r="E326" s="17"/>
      <c r="F326" s="17"/>
      <c r="G326" s="17"/>
    </row>
    <row r="327" spans="2:7" ht="13.2" x14ac:dyDescent="0.25">
      <c r="B327" s="17"/>
      <c r="C327" s="17"/>
      <c r="D327" s="17"/>
      <c r="E327" s="17"/>
      <c r="F327" s="17"/>
      <c r="G327" s="17"/>
    </row>
    <row r="328" spans="2:7" ht="13.2" x14ac:dyDescent="0.25">
      <c r="B328" s="17"/>
      <c r="C328" s="17"/>
      <c r="D328" s="17"/>
      <c r="E328" s="17"/>
      <c r="F328" s="17"/>
      <c r="G328" s="17"/>
    </row>
    <row r="329" spans="2:7" ht="13.2" x14ac:dyDescent="0.25">
      <c r="B329" s="17"/>
      <c r="C329" s="17"/>
      <c r="D329" s="17"/>
      <c r="E329" s="17"/>
      <c r="F329" s="17"/>
      <c r="G329" s="17"/>
    </row>
    <row r="330" spans="2:7" ht="13.2" x14ac:dyDescent="0.25">
      <c r="B330" s="17"/>
      <c r="C330" s="17"/>
      <c r="D330" s="17"/>
      <c r="E330" s="17"/>
      <c r="F330" s="17"/>
      <c r="G330" s="17"/>
    </row>
    <row r="331" spans="2:7" ht="13.2" x14ac:dyDescent="0.25">
      <c r="B331" s="17"/>
      <c r="C331" s="17"/>
      <c r="D331" s="17"/>
      <c r="E331" s="17"/>
      <c r="F331" s="17"/>
      <c r="G331" s="17"/>
    </row>
    <row r="332" spans="2:7" ht="13.2" x14ac:dyDescent="0.25">
      <c r="B332" s="17"/>
      <c r="C332" s="17"/>
      <c r="D332" s="17"/>
      <c r="E332" s="17"/>
      <c r="F332" s="17"/>
      <c r="G332" s="17"/>
    </row>
    <row r="333" spans="2:7" ht="13.2" x14ac:dyDescent="0.25">
      <c r="B333" s="17"/>
      <c r="C333" s="17"/>
      <c r="D333" s="17"/>
      <c r="E333" s="17"/>
      <c r="F333" s="17"/>
      <c r="G333" s="17"/>
    </row>
    <row r="334" spans="2:7" ht="13.2" x14ac:dyDescent="0.25">
      <c r="B334" s="17"/>
      <c r="C334" s="17"/>
      <c r="D334" s="17"/>
      <c r="E334" s="17"/>
      <c r="F334" s="17"/>
      <c r="G334" s="17"/>
    </row>
    <row r="335" spans="2:7" ht="13.2" x14ac:dyDescent="0.25">
      <c r="B335" s="17"/>
      <c r="C335" s="17"/>
      <c r="D335" s="17"/>
      <c r="E335" s="17"/>
      <c r="F335" s="17"/>
      <c r="G335" s="17"/>
    </row>
    <row r="336" spans="2:7" ht="13.2" x14ac:dyDescent="0.25">
      <c r="B336" s="17"/>
      <c r="C336" s="17"/>
      <c r="D336" s="17"/>
      <c r="E336" s="17"/>
      <c r="F336" s="17"/>
      <c r="G336" s="17"/>
    </row>
    <row r="337" spans="2:7" ht="13.2" x14ac:dyDescent="0.25">
      <c r="B337" s="17"/>
      <c r="C337" s="17"/>
      <c r="D337" s="17"/>
      <c r="E337" s="17"/>
      <c r="F337" s="17"/>
      <c r="G337" s="17"/>
    </row>
    <row r="338" spans="2:7" ht="13.2" x14ac:dyDescent="0.25">
      <c r="B338" s="17"/>
      <c r="C338" s="17"/>
      <c r="D338" s="17"/>
      <c r="E338" s="17"/>
      <c r="F338" s="17"/>
      <c r="G338" s="17"/>
    </row>
    <row r="339" spans="2:7" ht="13.2" x14ac:dyDescent="0.25">
      <c r="B339" s="17"/>
      <c r="C339" s="17"/>
      <c r="D339" s="17"/>
      <c r="E339" s="17"/>
      <c r="F339" s="17"/>
      <c r="G339" s="17"/>
    </row>
    <row r="340" spans="2:7" ht="13.2" x14ac:dyDescent="0.25">
      <c r="B340" s="17"/>
      <c r="C340" s="17"/>
      <c r="D340" s="17"/>
      <c r="E340" s="17"/>
      <c r="F340" s="17"/>
      <c r="G340" s="17"/>
    </row>
    <row r="341" spans="2:7" ht="13.2" x14ac:dyDescent="0.25">
      <c r="B341" s="17"/>
      <c r="C341" s="17"/>
      <c r="D341" s="17"/>
      <c r="E341" s="17"/>
      <c r="F341" s="17"/>
      <c r="G341" s="17"/>
    </row>
    <row r="342" spans="2:7" ht="13.2" x14ac:dyDescent="0.25">
      <c r="B342" s="17"/>
      <c r="C342" s="17"/>
      <c r="D342" s="17"/>
      <c r="E342" s="17"/>
      <c r="F342" s="17"/>
      <c r="G342" s="17"/>
    </row>
    <row r="343" spans="2:7" ht="13.2" x14ac:dyDescent="0.25">
      <c r="B343" s="17"/>
      <c r="C343" s="17"/>
      <c r="D343" s="17"/>
      <c r="E343" s="17"/>
      <c r="F343" s="17"/>
      <c r="G343" s="17"/>
    </row>
    <row r="344" spans="2:7" ht="13.2" x14ac:dyDescent="0.25">
      <c r="B344" s="17"/>
      <c r="C344" s="17"/>
      <c r="D344" s="17"/>
      <c r="E344" s="17"/>
      <c r="F344" s="17"/>
      <c r="G344" s="17"/>
    </row>
    <row r="345" spans="2:7" ht="13.2" x14ac:dyDescent="0.25">
      <c r="B345" s="17"/>
      <c r="C345" s="17"/>
      <c r="D345" s="17"/>
      <c r="E345" s="17"/>
      <c r="F345" s="17"/>
      <c r="G345" s="17"/>
    </row>
    <row r="346" spans="2:7" ht="13.2" x14ac:dyDescent="0.25">
      <c r="B346" s="17"/>
      <c r="C346" s="17"/>
      <c r="D346" s="17"/>
      <c r="E346" s="17"/>
      <c r="F346" s="17"/>
      <c r="G346" s="17"/>
    </row>
    <row r="347" spans="2:7" ht="13.2" x14ac:dyDescent="0.25">
      <c r="B347" s="17"/>
      <c r="C347" s="17"/>
      <c r="D347" s="17"/>
      <c r="E347" s="17"/>
      <c r="F347" s="17"/>
      <c r="G347" s="17"/>
    </row>
    <row r="348" spans="2:7" ht="13.2" x14ac:dyDescent="0.25">
      <c r="B348" s="17"/>
      <c r="C348" s="17"/>
      <c r="D348" s="17"/>
      <c r="E348" s="17"/>
      <c r="F348" s="17"/>
      <c r="G348" s="17"/>
    </row>
    <row r="349" spans="2:7" ht="13.2" x14ac:dyDescent="0.25">
      <c r="B349" s="17"/>
      <c r="C349" s="17"/>
      <c r="D349" s="17"/>
      <c r="E349" s="17"/>
      <c r="F349" s="17"/>
      <c r="G349" s="17"/>
    </row>
    <row r="350" spans="2:7" ht="13.2" x14ac:dyDescent="0.25">
      <c r="B350" s="17"/>
      <c r="C350" s="17"/>
      <c r="D350" s="17"/>
      <c r="E350" s="17"/>
      <c r="F350" s="17"/>
      <c r="G350" s="17"/>
    </row>
    <row r="351" spans="2:7" ht="13.2" x14ac:dyDescent="0.25">
      <c r="B351" s="17"/>
      <c r="C351" s="17"/>
      <c r="D351" s="17"/>
      <c r="E351" s="17"/>
      <c r="F351" s="17"/>
      <c r="G351" s="17"/>
    </row>
    <row r="352" spans="2:7" ht="13.2" x14ac:dyDescent="0.25">
      <c r="B352" s="17"/>
      <c r="C352" s="17"/>
      <c r="D352" s="17"/>
      <c r="E352" s="17"/>
      <c r="F352" s="17"/>
      <c r="G352" s="17"/>
    </row>
    <row r="353" spans="2:7" ht="13.2" x14ac:dyDescent="0.25">
      <c r="B353" s="17"/>
      <c r="C353" s="17"/>
      <c r="D353" s="17"/>
      <c r="E353" s="17"/>
      <c r="F353" s="17"/>
      <c r="G353" s="17"/>
    </row>
    <row r="354" spans="2:7" ht="13.2" x14ac:dyDescent="0.25">
      <c r="B354" s="17"/>
      <c r="C354" s="17"/>
      <c r="D354" s="17"/>
      <c r="E354" s="17"/>
      <c r="F354" s="17"/>
      <c r="G354" s="17"/>
    </row>
    <row r="355" spans="2:7" ht="13.2" x14ac:dyDescent="0.25">
      <c r="B355" s="17"/>
      <c r="C355" s="17"/>
      <c r="D355" s="17"/>
      <c r="E355" s="17"/>
      <c r="F355" s="17"/>
      <c r="G355" s="17"/>
    </row>
    <row r="356" spans="2:7" ht="13.2" x14ac:dyDescent="0.25">
      <c r="B356" s="17"/>
      <c r="C356" s="17"/>
      <c r="D356" s="17"/>
      <c r="E356" s="17"/>
      <c r="F356" s="17"/>
      <c r="G356" s="17"/>
    </row>
    <row r="357" spans="2:7" ht="13.2" x14ac:dyDescent="0.25">
      <c r="B357" s="17"/>
      <c r="C357" s="17"/>
      <c r="D357" s="17"/>
      <c r="E357" s="17"/>
      <c r="F357" s="17"/>
      <c r="G357" s="17"/>
    </row>
    <row r="358" spans="2:7" ht="13.2" x14ac:dyDescent="0.25">
      <c r="B358" s="17"/>
      <c r="C358" s="17"/>
      <c r="D358" s="17"/>
      <c r="E358" s="17"/>
      <c r="F358" s="17"/>
      <c r="G358" s="17"/>
    </row>
    <row r="359" spans="2:7" ht="13.2" x14ac:dyDescent="0.25">
      <c r="B359" s="17"/>
      <c r="C359" s="17"/>
      <c r="D359" s="17"/>
      <c r="E359" s="17"/>
      <c r="F359" s="17"/>
      <c r="G359" s="17"/>
    </row>
    <row r="360" spans="2:7" ht="13.2" x14ac:dyDescent="0.25">
      <c r="B360" s="17"/>
      <c r="C360" s="17"/>
      <c r="D360" s="17"/>
      <c r="E360" s="17"/>
      <c r="F360" s="17"/>
      <c r="G360" s="17"/>
    </row>
    <row r="361" spans="2:7" ht="13.2" x14ac:dyDescent="0.25">
      <c r="B361" s="17"/>
      <c r="C361" s="17"/>
      <c r="D361" s="17"/>
      <c r="E361" s="17"/>
      <c r="F361" s="17"/>
      <c r="G361" s="17"/>
    </row>
    <row r="362" spans="2:7" ht="13.2" x14ac:dyDescent="0.25">
      <c r="B362" s="17"/>
      <c r="C362" s="17"/>
      <c r="D362" s="17"/>
      <c r="E362" s="17"/>
      <c r="F362" s="17"/>
      <c r="G362" s="17"/>
    </row>
    <row r="363" spans="2:7" ht="13.2" x14ac:dyDescent="0.25">
      <c r="B363" s="17"/>
      <c r="C363" s="17"/>
      <c r="D363" s="17"/>
      <c r="E363" s="17"/>
      <c r="F363" s="17"/>
      <c r="G363" s="17"/>
    </row>
    <row r="364" spans="2:7" ht="13.2" x14ac:dyDescent="0.25">
      <c r="B364" s="17"/>
      <c r="C364" s="17"/>
      <c r="D364" s="17"/>
      <c r="E364" s="17"/>
      <c r="F364" s="17"/>
      <c r="G364" s="17"/>
    </row>
    <row r="365" spans="2:7" ht="13.2" x14ac:dyDescent="0.25">
      <c r="B365" s="17"/>
      <c r="C365" s="17"/>
      <c r="D365" s="17"/>
      <c r="E365" s="17"/>
      <c r="F365" s="17"/>
      <c r="G365" s="17"/>
    </row>
    <row r="366" spans="2:7" ht="13.2" x14ac:dyDescent="0.25">
      <c r="B366" s="17"/>
      <c r="C366" s="17"/>
      <c r="D366" s="17"/>
      <c r="E366" s="17"/>
      <c r="F366" s="17"/>
      <c r="G366" s="17"/>
    </row>
    <row r="367" spans="2:7" ht="13.2" x14ac:dyDescent="0.25">
      <c r="B367" s="17"/>
      <c r="C367" s="17"/>
      <c r="D367" s="17"/>
      <c r="E367" s="17"/>
      <c r="F367" s="17"/>
      <c r="G367" s="17"/>
    </row>
    <row r="368" spans="2:7" ht="13.2" x14ac:dyDescent="0.25">
      <c r="B368" s="17"/>
      <c r="C368" s="17"/>
      <c r="D368" s="17"/>
      <c r="E368" s="17"/>
      <c r="F368" s="17"/>
      <c r="G368" s="17"/>
    </row>
    <row r="369" spans="2:7" ht="13.2" x14ac:dyDescent="0.25">
      <c r="B369" s="17"/>
      <c r="C369" s="17"/>
      <c r="D369" s="17"/>
      <c r="E369" s="17"/>
      <c r="F369" s="17"/>
      <c r="G369" s="17"/>
    </row>
    <row r="370" spans="2:7" ht="13.2" x14ac:dyDescent="0.25">
      <c r="B370" s="17"/>
      <c r="C370" s="17"/>
      <c r="D370" s="17"/>
      <c r="E370" s="17"/>
      <c r="F370" s="17"/>
      <c r="G370" s="17"/>
    </row>
    <row r="371" spans="2:7" ht="13.2" x14ac:dyDescent="0.25">
      <c r="B371" s="17"/>
      <c r="C371" s="17"/>
      <c r="D371" s="17"/>
      <c r="E371" s="17"/>
      <c r="F371" s="17"/>
      <c r="G371" s="17"/>
    </row>
    <row r="372" spans="2:7" ht="13.2" x14ac:dyDescent="0.25">
      <c r="B372" s="17"/>
      <c r="C372" s="17"/>
      <c r="D372" s="17"/>
      <c r="E372" s="17"/>
      <c r="F372" s="17"/>
      <c r="G372" s="17"/>
    </row>
    <row r="373" spans="2:7" ht="13.2" x14ac:dyDescent="0.25">
      <c r="B373" s="17"/>
      <c r="C373" s="17"/>
      <c r="D373" s="17"/>
      <c r="E373" s="17"/>
      <c r="F373" s="17"/>
      <c r="G373" s="17"/>
    </row>
    <row r="374" spans="2:7" ht="13.2" x14ac:dyDescent="0.25">
      <c r="B374" s="17"/>
      <c r="C374" s="17"/>
      <c r="D374" s="17"/>
      <c r="E374" s="17"/>
      <c r="F374" s="17"/>
      <c r="G374" s="17"/>
    </row>
    <row r="375" spans="2:7" ht="13.2" x14ac:dyDescent="0.25">
      <c r="B375" s="17"/>
      <c r="C375" s="17"/>
      <c r="D375" s="17"/>
      <c r="E375" s="17"/>
      <c r="F375" s="17"/>
      <c r="G375" s="17"/>
    </row>
    <row r="376" spans="2:7" ht="13.2" x14ac:dyDescent="0.25">
      <c r="B376" s="17"/>
      <c r="C376" s="17"/>
      <c r="D376" s="17"/>
      <c r="E376" s="17"/>
      <c r="F376" s="17"/>
      <c r="G376" s="17"/>
    </row>
    <row r="377" spans="2:7" ht="13.2" x14ac:dyDescent="0.25">
      <c r="B377" s="17"/>
      <c r="C377" s="17"/>
      <c r="D377" s="17"/>
      <c r="E377" s="17"/>
      <c r="F377" s="17"/>
      <c r="G377" s="17"/>
    </row>
    <row r="378" spans="2:7" ht="13.2" x14ac:dyDescent="0.25">
      <c r="B378" s="17"/>
      <c r="C378" s="17"/>
      <c r="D378" s="17"/>
      <c r="E378" s="17"/>
      <c r="F378" s="17"/>
      <c r="G378" s="17"/>
    </row>
    <row r="379" spans="2:7" ht="13.2" x14ac:dyDescent="0.25">
      <c r="B379" s="17"/>
      <c r="C379" s="17"/>
      <c r="D379" s="17"/>
      <c r="E379" s="17"/>
      <c r="F379" s="17"/>
      <c r="G379" s="17"/>
    </row>
    <row r="380" spans="2:7" ht="13.2" x14ac:dyDescent="0.25">
      <c r="B380" s="17"/>
      <c r="C380" s="17"/>
      <c r="D380" s="17"/>
      <c r="E380" s="17"/>
      <c r="F380" s="17"/>
      <c r="G380" s="17"/>
    </row>
    <row r="381" spans="2:7" ht="13.2" x14ac:dyDescent="0.25">
      <c r="B381" s="17"/>
      <c r="C381" s="17"/>
      <c r="D381" s="17"/>
      <c r="E381" s="17"/>
      <c r="F381" s="17"/>
      <c r="G381" s="17"/>
    </row>
    <row r="382" spans="2:7" ht="13.2" x14ac:dyDescent="0.25">
      <c r="B382" s="17"/>
      <c r="C382" s="17"/>
      <c r="D382" s="17"/>
      <c r="E382" s="17"/>
      <c r="F382" s="17"/>
      <c r="G382" s="17"/>
    </row>
    <row r="383" spans="2:7" ht="13.2" x14ac:dyDescent="0.25">
      <c r="B383" s="17"/>
      <c r="C383" s="17"/>
      <c r="D383" s="17"/>
      <c r="E383" s="17"/>
      <c r="F383" s="17"/>
      <c r="G383" s="17"/>
    </row>
    <row r="384" spans="2:7" ht="13.2" x14ac:dyDescent="0.25">
      <c r="B384" s="17"/>
      <c r="C384" s="17"/>
      <c r="D384" s="17"/>
      <c r="E384" s="17"/>
      <c r="F384" s="17"/>
      <c r="G384" s="17"/>
    </row>
    <row r="385" spans="2:7" ht="13.2" x14ac:dyDescent="0.25">
      <c r="B385" s="17"/>
      <c r="C385" s="17"/>
      <c r="D385" s="17"/>
      <c r="E385" s="17"/>
      <c r="F385" s="17"/>
      <c r="G385" s="17"/>
    </row>
    <row r="386" spans="2:7" ht="13.2" x14ac:dyDescent="0.25">
      <c r="B386" s="17"/>
      <c r="C386" s="17"/>
      <c r="D386" s="17"/>
      <c r="E386" s="17"/>
      <c r="F386" s="17"/>
      <c r="G386" s="17"/>
    </row>
    <row r="387" spans="2:7" ht="13.2" x14ac:dyDescent="0.25">
      <c r="B387" s="17"/>
      <c r="C387" s="17"/>
      <c r="D387" s="17"/>
      <c r="E387" s="17"/>
      <c r="F387" s="17"/>
      <c r="G387" s="17"/>
    </row>
    <row r="388" spans="2:7" ht="13.2" x14ac:dyDescent="0.25">
      <c r="B388" s="17"/>
      <c r="C388" s="17"/>
      <c r="D388" s="17"/>
      <c r="E388" s="17"/>
      <c r="F388" s="17"/>
      <c r="G388" s="17"/>
    </row>
    <row r="389" spans="2:7" ht="13.2" x14ac:dyDescent="0.25">
      <c r="B389" s="17"/>
      <c r="C389" s="17"/>
      <c r="D389" s="17"/>
      <c r="E389" s="17"/>
      <c r="F389" s="17"/>
      <c r="G389" s="17"/>
    </row>
    <row r="390" spans="2:7" ht="13.2" x14ac:dyDescent="0.25">
      <c r="B390" s="17"/>
      <c r="C390" s="17"/>
      <c r="D390" s="17"/>
      <c r="E390" s="17"/>
      <c r="F390" s="17"/>
      <c r="G390" s="17"/>
    </row>
    <row r="391" spans="2:7" ht="13.2" x14ac:dyDescent="0.25">
      <c r="B391" s="17"/>
      <c r="C391" s="17"/>
      <c r="D391" s="17"/>
      <c r="E391" s="17"/>
      <c r="F391" s="17"/>
      <c r="G391" s="17"/>
    </row>
    <row r="392" spans="2:7" ht="13.2" x14ac:dyDescent="0.25">
      <c r="B392" s="17"/>
      <c r="C392" s="17"/>
      <c r="D392" s="17"/>
      <c r="E392" s="17"/>
      <c r="F392" s="17"/>
      <c r="G392" s="17"/>
    </row>
    <row r="393" spans="2:7" ht="13.2" x14ac:dyDescent="0.25">
      <c r="B393" s="17"/>
      <c r="C393" s="17"/>
      <c r="D393" s="17"/>
      <c r="E393" s="17"/>
      <c r="F393" s="17"/>
      <c r="G393" s="17"/>
    </row>
    <row r="394" spans="2:7" ht="13.2" x14ac:dyDescent="0.25">
      <c r="B394" s="17"/>
      <c r="C394" s="17"/>
      <c r="D394" s="17"/>
      <c r="E394" s="17"/>
      <c r="F394" s="17"/>
      <c r="G394" s="17"/>
    </row>
    <row r="395" spans="2:7" ht="13.2" x14ac:dyDescent="0.25">
      <c r="B395" s="17"/>
      <c r="C395" s="17"/>
      <c r="D395" s="17"/>
      <c r="E395" s="17"/>
      <c r="F395" s="17"/>
      <c r="G395" s="17"/>
    </row>
    <row r="396" spans="2:7" ht="13.2" x14ac:dyDescent="0.25">
      <c r="B396" s="17"/>
      <c r="C396" s="17"/>
      <c r="D396" s="17"/>
      <c r="E396" s="17"/>
      <c r="F396" s="17"/>
      <c r="G396" s="17"/>
    </row>
    <row r="397" spans="2:7" ht="13.2" x14ac:dyDescent="0.25">
      <c r="B397" s="17"/>
      <c r="C397" s="17"/>
      <c r="D397" s="17"/>
      <c r="E397" s="17"/>
      <c r="F397" s="17"/>
      <c r="G397" s="17"/>
    </row>
    <row r="398" spans="2:7" ht="13.2" x14ac:dyDescent="0.25">
      <c r="B398" s="17"/>
      <c r="C398" s="17"/>
      <c r="D398" s="17"/>
      <c r="E398" s="17"/>
      <c r="F398" s="17"/>
      <c r="G398" s="17"/>
    </row>
    <row r="399" spans="2:7" ht="13.2" x14ac:dyDescent="0.25">
      <c r="B399" s="17"/>
      <c r="C399" s="17"/>
      <c r="D399" s="17"/>
      <c r="E399" s="17"/>
      <c r="F399" s="17"/>
      <c r="G399" s="17"/>
    </row>
    <row r="400" spans="2:7" ht="13.2" x14ac:dyDescent="0.25">
      <c r="B400" s="17"/>
      <c r="C400" s="17"/>
      <c r="D400" s="17"/>
      <c r="E400" s="17"/>
      <c r="F400" s="17"/>
      <c r="G400" s="17"/>
    </row>
    <row r="401" spans="2:7" ht="13.2" x14ac:dyDescent="0.25">
      <c r="B401" s="17"/>
      <c r="C401" s="17"/>
      <c r="D401" s="17"/>
      <c r="E401" s="17"/>
      <c r="F401" s="17"/>
      <c r="G401" s="17"/>
    </row>
    <row r="402" spans="2:7" ht="13.2" x14ac:dyDescent="0.25">
      <c r="B402" s="17"/>
      <c r="C402" s="17"/>
      <c r="D402" s="17"/>
      <c r="E402" s="17"/>
      <c r="F402" s="17"/>
      <c r="G402" s="17"/>
    </row>
    <row r="403" spans="2:7" ht="13.2" x14ac:dyDescent="0.25">
      <c r="B403" s="17"/>
      <c r="C403" s="17"/>
      <c r="D403" s="17"/>
      <c r="E403" s="17"/>
      <c r="F403" s="17"/>
      <c r="G403" s="17"/>
    </row>
    <row r="404" spans="2:7" ht="13.2" x14ac:dyDescent="0.25">
      <c r="B404" s="17"/>
      <c r="C404" s="17"/>
      <c r="D404" s="17"/>
      <c r="E404" s="17"/>
      <c r="F404" s="17"/>
      <c r="G404" s="17"/>
    </row>
    <row r="405" spans="2:7" ht="13.2" x14ac:dyDescent="0.25">
      <c r="B405" s="17"/>
      <c r="C405" s="17"/>
      <c r="D405" s="17"/>
      <c r="E405" s="17"/>
      <c r="F405" s="17"/>
      <c r="G405" s="17"/>
    </row>
    <row r="406" spans="2:7" ht="13.2" x14ac:dyDescent="0.25">
      <c r="B406" s="17"/>
      <c r="C406" s="17"/>
      <c r="D406" s="17"/>
      <c r="E406" s="17"/>
      <c r="F406" s="17"/>
      <c r="G406" s="17"/>
    </row>
    <row r="407" spans="2:7" ht="13.2" x14ac:dyDescent="0.25">
      <c r="B407" s="17"/>
      <c r="C407" s="17"/>
      <c r="D407" s="17"/>
      <c r="E407" s="17"/>
      <c r="F407" s="17"/>
      <c r="G407" s="17"/>
    </row>
    <row r="408" spans="2:7" ht="13.2" x14ac:dyDescent="0.25">
      <c r="B408" s="17"/>
      <c r="C408" s="17"/>
      <c r="D408" s="17"/>
      <c r="E408" s="17"/>
      <c r="F408" s="17"/>
      <c r="G408" s="17"/>
    </row>
    <row r="409" spans="2:7" ht="13.2" x14ac:dyDescent="0.25">
      <c r="B409" s="17"/>
      <c r="C409" s="17"/>
      <c r="D409" s="17"/>
      <c r="E409" s="17"/>
      <c r="F409" s="17"/>
      <c r="G409" s="17"/>
    </row>
    <row r="410" spans="2:7" ht="13.2" x14ac:dyDescent="0.25">
      <c r="B410" s="17"/>
      <c r="C410" s="17"/>
      <c r="D410" s="17"/>
      <c r="E410" s="17"/>
      <c r="F410" s="17"/>
      <c r="G410" s="17"/>
    </row>
    <row r="411" spans="2:7" ht="13.2" x14ac:dyDescent="0.25">
      <c r="B411" s="17"/>
      <c r="C411" s="17"/>
      <c r="D411" s="17"/>
      <c r="E411" s="17"/>
      <c r="F411" s="17"/>
      <c r="G411" s="17"/>
    </row>
    <row r="412" spans="2:7" ht="13.2" x14ac:dyDescent="0.25">
      <c r="B412" s="17"/>
      <c r="C412" s="17"/>
      <c r="D412" s="17"/>
      <c r="E412" s="17"/>
      <c r="F412" s="17"/>
      <c r="G412" s="17"/>
    </row>
    <row r="413" spans="2:7" ht="13.2" x14ac:dyDescent="0.25">
      <c r="B413" s="17"/>
      <c r="C413" s="17"/>
      <c r="D413" s="17"/>
      <c r="E413" s="17"/>
      <c r="F413" s="17"/>
      <c r="G413" s="17"/>
    </row>
    <row r="414" spans="2:7" ht="13.2" x14ac:dyDescent="0.25">
      <c r="B414" s="17"/>
      <c r="C414" s="17"/>
      <c r="D414" s="17"/>
      <c r="E414" s="17"/>
      <c r="F414" s="17"/>
      <c r="G414" s="17"/>
    </row>
    <row r="415" spans="2:7" ht="13.2" x14ac:dyDescent="0.25">
      <c r="B415" s="17"/>
      <c r="C415" s="17"/>
      <c r="D415" s="17"/>
      <c r="E415" s="17"/>
      <c r="F415" s="17"/>
      <c r="G415" s="17"/>
    </row>
    <row r="416" spans="2:7" ht="13.2" x14ac:dyDescent="0.25">
      <c r="B416" s="17"/>
      <c r="C416" s="17"/>
      <c r="D416" s="17"/>
      <c r="E416" s="17"/>
      <c r="F416" s="17"/>
      <c r="G416" s="17"/>
    </row>
    <row r="417" spans="2:7" ht="13.2" x14ac:dyDescent="0.25">
      <c r="B417" s="17"/>
      <c r="C417" s="17"/>
      <c r="D417" s="17"/>
      <c r="E417" s="17"/>
      <c r="F417" s="17"/>
      <c r="G417" s="17"/>
    </row>
    <row r="418" spans="2:7" ht="13.2" x14ac:dyDescent="0.25">
      <c r="B418" s="17"/>
      <c r="C418" s="17"/>
      <c r="D418" s="17"/>
      <c r="E418" s="17"/>
      <c r="F418" s="17"/>
      <c r="G418" s="17"/>
    </row>
    <row r="419" spans="2:7" ht="13.2" x14ac:dyDescent="0.25">
      <c r="B419" s="17"/>
      <c r="C419" s="17"/>
      <c r="D419" s="17"/>
      <c r="E419" s="17"/>
      <c r="F419" s="17"/>
      <c r="G419" s="17"/>
    </row>
    <row r="420" spans="2:7" ht="13.2" x14ac:dyDescent="0.25">
      <c r="B420" s="17"/>
      <c r="C420" s="17"/>
      <c r="D420" s="17"/>
      <c r="E420" s="17"/>
      <c r="F420" s="17"/>
      <c r="G420" s="17"/>
    </row>
    <row r="421" spans="2:7" ht="13.2" x14ac:dyDescent="0.25">
      <c r="B421" s="17"/>
      <c r="C421" s="17"/>
      <c r="D421" s="17"/>
      <c r="E421" s="17"/>
      <c r="F421" s="17"/>
      <c r="G421" s="17"/>
    </row>
    <row r="422" spans="2:7" ht="13.2" x14ac:dyDescent="0.25">
      <c r="B422" s="17"/>
      <c r="C422" s="17"/>
      <c r="D422" s="17"/>
      <c r="E422" s="17"/>
      <c r="F422" s="17"/>
      <c r="G422" s="17"/>
    </row>
    <row r="423" spans="2:7" ht="13.2" x14ac:dyDescent="0.25">
      <c r="B423" s="17"/>
      <c r="C423" s="17"/>
      <c r="D423" s="17"/>
      <c r="E423" s="17"/>
      <c r="F423" s="17"/>
      <c r="G423" s="17"/>
    </row>
    <row r="424" spans="2:7" ht="13.2" x14ac:dyDescent="0.25">
      <c r="B424" s="17"/>
      <c r="C424" s="17"/>
      <c r="D424" s="17"/>
      <c r="E424" s="17"/>
      <c r="F424" s="17"/>
      <c r="G424" s="17"/>
    </row>
    <row r="425" spans="2:7" ht="13.2" x14ac:dyDescent="0.25">
      <c r="B425" s="17"/>
      <c r="C425" s="17"/>
      <c r="D425" s="17"/>
      <c r="E425" s="17"/>
      <c r="F425" s="17"/>
      <c r="G425" s="17"/>
    </row>
    <row r="426" spans="2:7" ht="13.2" x14ac:dyDescent="0.25">
      <c r="B426" s="17"/>
      <c r="C426" s="17"/>
      <c r="D426" s="17"/>
      <c r="E426" s="17"/>
      <c r="F426" s="17"/>
      <c r="G426" s="17"/>
    </row>
    <row r="427" spans="2:7" ht="13.2" x14ac:dyDescent="0.25">
      <c r="B427" s="17"/>
      <c r="C427" s="17"/>
      <c r="D427" s="17"/>
      <c r="E427" s="17"/>
      <c r="F427" s="17"/>
      <c r="G427" s="17"/>
    </row>
    <row r="428" spans="2:7" ht="13.2" x14ac:dyDescent="0.25">
      <c r="B428" s="17"/>
      <c r="C428" s="17"/>
      <c r="D428" s="17"/>
      <c r="E428" s="17"/>
      <c r="F428" s="17"/>
      <c r="G428" s="17"/>
    </row>
    <row r="429" spans="2:7" ht="13.2" x14ac:dyDescent="0.25">
      <c r="B429" s="17"/>
      <c r="C429" s="17"/>
      <c r="D429" s="17"/>
      <c r="E429" s="17"/>
      <c r="F429" s="17"/>
      <c r="G429" s="17"/>
    </row>
    <row r="430" spans="2:7" ht="13.2" x14ac:dyDescent="0.25">
      <c r="B430" s="17"/>
      <c r="C430" s="17"/>
      <c r="D430" s="17"/>
      <c r="E430" s="17"/>
      <c r="F430" s="17"/>
      <c r="G430" s="17"/>
    </row>
    <row r="431" spans="2:7" ht="13.2" x14ac:dyDescent="0.25">
      <c r="B431" s="17"/>
      <c r="C431" s="17"/>
      <c r="D431" s="17"/>
      <c r="E431" s="17"/>
      <c r="F431" s="17"/>
      <c r="G431" s="17"/>
    </row>
    <row r="432" spans="2:7" ht="13.2" x14ac:dyDescent="0.25">
      <c r="B432" s="17"/>
      <c r="C432" s="17"/>
      <c r="D432" s="17"/>
      <c r="E432" s="17"/>
      <c r="F432" s="17"/>
      <c r="G432" s="17"/>
    </row>
    <row r="433" spans="2:7" ht="13.2" x14ac:dyDescent="0.25">
      <c r="B433" s="17"/>
      <c r="C433" s="17"/>
      <c r="D433" s="17"/>
      <c r="E433" s="17"/>
      <c r="F433" s="17"/>
      <c r="G433" s="17"/>
    </row>
    <row r="434" spans="2:7" ht="13.2" x14ac:dyDescent="0.25">
      <c r="B434" s="17"/>
      <c r="C434" s="17"/>
      <c r="D434" s="17"/>
      <c r="E434" s="17"/>
      <c r="F434" s="17"/>
      <c r="G434" s="17"/>
    </row>
    <row r="435" spans="2:7" ht="13.2" x14ac:dyDescent="0.25">
      <c r="B435" s="17"/>
      <c r="C435" s="17"/>
      <c r="D435" s="17"/>
      <c r="E435" s="17"/>
      <c r="F435" s="17"/>
      <c r="G435" s="17"/>
    </row>
    <row r="436" spans="2:7" ht="13.2" x14ac:dyDescent="0.25">
      <c r="B436" s="17"/>
      <c r="C436" s="17"/>
      <c r="D436" s="17"/>
      <c r="E436" s="17"/>
      <c r="F436" s="17"/>
      <c r="G436" s="17"/>
    </row>
    <row r="437" spans="2:7" ht="13.2" x14ac:dyDescent="0.25">
      <c r="B437" s="17"/>
      <c r="C437" s="17"/>
      <c r="D437" s="17"/>
      <c r="E437" s="17"/>
      <c r="F437" s="17"/>
      <c r="G437" s="17"/>
    </row>
    <row r="438" spans="2:7" ht="13.2" x14ac:dyDescent="0.25">
      <c r="B438" s="17"/>
      <c r="C438" s="17"/>
      <c r="D438" s="17"/>
      <c r="E438" s="17"/>
      <c r="F438" s="17"/>
      <c r="G438" s="17"/>
    </row>
    <row r="439" spans="2:7" ht="13.2" x14ac:dyDescent="0.25">
      <c r="B439" s="17"/>
      <c r="C439" s="17"/>
      <c r="D439" s="17"/>
      <c r="E439" s="17"/>
      <c r="F439" s="17"/>
      <c r="G439" s="17"/>
    </row>
    <row r="440" spans="2:7" ht="13.2" x14ac:dyDescent="0.25">
      <c r="B440" s="17"/>
      <c r="C440" s="17"/>
      <c r="D440" s="17"/>
      <c r="E440" s="17"/>
      <c r="F440" s="17"/>
      <c r="G440" s="17"/>
    </row>
    <row r="441" spans="2:7" ht="13.2" x14ac:dyDescent="0.25">
      <c r="B441" s="17"/>
      <c r="C441" s="17"/>
      <c r="D441" s="17"/>
      <c r="E441" s="17"/>
      <c r="F441" s="17"/>
      <c r="G441" s="17"/>
    </row>
    <row r="442" spans="2:7" ht="13.2" x14ac:dyDescent="0.25">
      <c r="B442" s="17"/>
      <c r="C442" s="17"/>
      <c r="D442" s="17"/>
      <c r="E442" s="17"/>
      <c r="F442" s="17"/>
      <c r="G442" s="17"/>
    </row>
    <row r="443" spans="2:7" ht="13.2" x14ac:dyDescent="0.25">
      <c r="B443" s="17"/>
      <c r="C443" s="17"/>
      <c r="D443" s="17"/>
      <c r="E443" s="17"/>
      <c r="F443" s="17"/>
      <c r="G443" s="17"/>
    </row>
    <row r="444" spans="2:7" ht="13.2" x14ac:dyDescent="0.25">
      <c r="B444" s="17"/>
      <c r="C444" s="17"/>
      <c r="D444" s="17"/>
      <c r="E444" s="17"/>
      <c r="F444" s="17"/>
      <c r="G444" s="17"/>
    </row>
    <row r="445" spans="2:7" ht="13.2" x14ac:dyDescent="0.25">
      <c r="B445" s="17"/>
      <c r="C445" s="17"/>
      <c r="D445" s="17"/>
      <c r="E445" s="17"/>
      <c r="F445" s="17"/>
      <c r="G445" s="17"/>
    </row>
    <row r="446" spans="2:7" ht="13.2" x14ac:dyDescent="0.25">
      <c r="B446" s="17"/>
      <c r="C446" s="17"/>
      <c r="D446" s="17"/>
      <c r="E446" s="17"/>
      <c r="F446" s="17"/>
      <c r="G446" s="17"/>
    </row>
    <row r="447" spans="2:7" ht="13.2" x14ac:dyDescent="0.25">
      <c r="B447" s="17"/>
      <c r="C447" s="17"/>
      <c r="D447" s="17"/>
      <c r="E447" s="17"/>
      <c r="F447" s="17"/>
      <c r="G447" s="17"/>
    </row>
    <row r="448" spans="2:7" ht="13.2" x14ac:dyDescent="0.25">
      <c r="B448" s="17"/>
      <c r="C448" s="17"/>
      <c r="D448" s="17"/>
      <c r="E448" s="17"/>
      <c r="F448" s="17"/>
      <c r="G448" s="17"/>
    </row>
    <row r="449" spans="2:7" ht="13.2" x14ac:dyDescent="0.25">
      <c r="B449" s="17"/>
      <c r="C449" s="17"/>
      <c r="D449" s="17"/>
      <c r="E449" s="17"/>
      <c r="F449" s="17"/>
      <c r="G449" s="17"/>
    </row>
    <row r="450" spans="2:7" ht="13.2" x14ac:dyDescent="0.25">
      <c r="B450" s="17"/>
      <c r="C450" s="17"/>
      <c r="D450" s="17"/>
      <c r="E450" s="17"/>
      <c r="F450" s="17"/>
      <c r="G450" s="17"/>
    </row>
    <row r="451" spans="2:7" ht="13.2" x14ac:dyDescent="0.25">
      <c r="B451" s="17"/>
      <c r="C451" s="17"/>
      <c r="D451" s="17"/>
      <c r="E451" s="17"/>
      <c r="F451" s="17"/>
      <c r="G451" s="17"/>
    </row>
    <row r="452" spans="2:7" ht="13.2" x14ac:dyDescent="0.25">
      <c r="B452" s="17"/>
      <c r="C452" s="17"/>
      <c r="D452" s="17"/>
      <c r="E452" s="17"/>
      <c r="F452" s="17"/>
      <c r="G452" s="17"/>
    </row>
    <row r="453" spans="2:7" ht="13.2" x14ac:dyDescent="0.25">
      <c r="B453" s="17"/>
      <c r="C453" s="17"/>
      <c r="D453" s="17"/>
      <c r="E453" s="17"/>
      <c r="F453" s="17"/>
      <c r="G453" s="17"/>
    </row>
    <row r="454" spans="2:7" ht="13.2" x14ac:dyDescent="0.25">
      <c r="B454" s="17"/>
      <c r="C454" s="17"/>
      <c r="D454" s="17"/>
      <c r="E454" s="17"/>
      <c r="F454" s="17"/>
      <c r="G454" s="17"/>
    </row>
    <row r="455" spans="2:7" ht="13.2" x14ac:dyDescent="0.25">
      <c r="B455" s="17"/>
      <c r="C455" s="17"/>
      <c r="D455" s="17"/>
      <c r="E455" s="17"/>
      <c r="F455" s="17"/>
      <c r="G455" s="17"/>
    </row>
    <row r="456" spans="2:7" ht="13.2" x14ac:dyDescent="0.25">
      <c r="B456" s="17"/>
      <c r="C456" s="17"/>
      <c r="D456" s="17"/>
      <c r="E456" s="17"/>
      <c r="F456" s="17"/>
      <c r="G456" s="17"/>
    </row>
    <row r="457" spans="2:7" ht="13.2" x14ac:dyDescent="0.25">
      <c r="B457" s="17"/>
      <c r="C457" s="17"/>
      <c r="D457" s="17"/>
      <c r="E457" s="17"/>
      <c r="F457" s="17"/>
      <c r="G457" s="17"/>
    </row>
    <row r="458" spans="2:7" ht="13.2" x14ac:dyDescent="0.25">
      <c r="B458" s="17"/>
      <c r="C458" s="17"/>
      <c r="D458" s="17"/>
      <c r="E458" s="17"/>
      <c r="F458" s="17"/>
      <c r="G458" s="17"/>
    </row>
    <row r="459" spans="2:7" ht="13.2" x14ac:dyDescent="0.25">
      <c r="B459" s="17"/>
      <c r="C459" s="17"/>
      <c r="D459" s="17"/>
      <c r="E459" s="17"/>
      <c r="F459" s="17"/>
      <c r="G459" s="17"/>
    </row>
    <row r="460" spans="2:7" ht="13.2" x14ac:dyDescent="0.25">
      <c r="B460" s="17"/>
      <c r="C460" s="17"/>
      <c r="D460" s="17"/>
      <c r="E460" s="17"/>
      <c r="F460" s="17"/>
      <c r="G460" s="17"/>
    </row>
    <row r="461" spans="2:7" ht="13.2" x14ac:dyDescent="0.25">
      <c r="B461" s="17"/>
      <c r="C461" s="17"/>
      <c r="D461" s="17"/>
      <c r="E461" s="17"/>
      <c r="F461" s="17"/>
      <c r="G461" s="17"/>
    </row>
    <row r="462" spans="2:7" ht="13.2" x14ac:dyDescent="0.25">
      <c r="B462" s="17"/>
      <c r="C462" s="17"/>
      <c r="D462" s="17"/>
      <c r="E462" s="17"/>
      <c r="F462" s="17"/>
      <c r="G462" s="17"/>
    </row>
    <row r="463" spans="2:7" ht="13.2" x14ac:dyDescent="0.25">
      <c r="B463" s="17"/>
      <c r="C463" s="17"/>
      <c r="D463" s="17"/>
      <c r="E463" s="17"/>
      <c r="F463" s="17"/>
      <c r="G463" s="17"/>
    </row>
    <row r="464" spans="2:7" ht="13.2" x14ac:dyDescent="0.25">
      <c r="B464" s="17"/>
      <c r="C464" s="17"/>
      <c r="D464" s="17"/>
      <c r="E464" s="17"/>
      <c r="F464" s="17"/>
      <c r="G464" s="17"/>
    </row>
    <row r="465" spans="2:7" ht="13.2" x14ac:dyDescent="0.25">
      <c r="B465" s="17"/>
      <c r="C465" s="17"/>
      <c r="D465" s="17"/>
      <c r="E465" s="17"/>
      <c r="F465" s="17"/>
      <c r="G465" s="17"/>
    </row>
    <row r="466" spans="2:7" ht="13.2" x14ac:dyDescent="0.25">
      <c r="B466" s="17"/>
      <c r="C466" s="17"/>
      <c r="D466" s="17"/>
      <c r="E466" s="17"/>
      <c r="F466" s="17"/>
      <c r="G466" s="17"/>
    </row>
    <row r="467" spans="2:7" ht="13.2" x14ac:dyDescent="0.25">
      <c r="B467" s="17"/>
      <c r="C467" s="17"/>
      <c r="D467" s="17"/>
      <c r="E467" s="17"/>
      <c r="F467" s="17"/>
      <c r="G467" s="17"/>
    </row>
    <row r="468" spans="2:7" ht="13.2" x14ac:dyDescent="0.25">
      <c r="B468" s="17"/>
      <c r="C468" s="17"/>
      <c r="D468" s="17"/>
      <c r="E468" s="17"/>
      <c r="F468" s="17"/>
      <c r="G468" s="17"/>
    </row>
    <row r="469" spans="2:7" ht="13.2" x14ac:dyDescent="0.25">
      <c r="B469" s="17"/>
      <c r="C469" s="17"/>
      <c r="D469" s="17"/>
      <c r="E469" s="17"/>
      <c r="F469" s="17"/>
      <c r="G469" s="17"/>
    </row>
    <row r="470" spans="2:7" ht="13.2" x14ac:dyDescent="0.25">
      <c r="B470" s="17"/>
      <c r="C470" s="17"/>
      <c r="D470" s="17"/>
      <c r="E470" s="17"/>
      <c r="F470" s="17"/>
      <c r="G470" s="17"/>
    </row>
    <row r="471" spans="2:7" ht="13.2" x14ac:dyDescent="0.25">
      <c r="B471" s="17"/>
      <c r="C471" s="17"/>
      <c r="D471" s="17"/>
      <c r="E471" s="17"/>
      <c r="F471" s="17"/>
      <c r="G471" s="17"/>
    </row>
    <row r="472" spans="2:7" ht="13.2" x14ac:dyDescent="0.25">
      <c r="B472" s="17"/>
      <c r="C472" s="17"/>
      <c r="D472" s="17"/>
      <c r="E472" s="17"/>
      <c r="F472" s="17"/>
      <c r="G472" s="17"/>
    </row>
    <row r="473" spans="2:7" ht="13.2" x14ac:dyDescent="0.25">
      <c r="B473" s="17"/>
      <c r="C473" s="17"/>
      <c r="D473" s="17"/>
      <c r="E473" s="17"/>
      <c r="F473" s="17"/>
      <c r="G473" s="17"/>
    </row>
    <row r="474" spans="2:7" ht="13.2" x14ac:dyDescent="0.25">
      <c r="B474" s="17"/>
      <c r="C474" s="17"/>
      <c r="D474" s="17"/>
      <c r="E474" s="17"/>
      <c r="F474" s="17"/>
      <c r="G474" s="17"/>
    </row>
    <row r="475" spans="2:7" ht="13.2" x14ac:dyDescent="0.25">
      <c r="B475" s="17"/>
      <c r="C475" s="17"/>
      <c r="D475" s="17"/>
      <c r="E475" s="17"/>
      <c r="F475" s="17"/>
      <c r="G475" s="17"/>
    </row>
    <row r="476" spans="2:7" ht="13.2" x14ac:dyDescent="0.25">
      <c r="B476" s="17"/>
      <c r="C476" s="17"/>
      <c r="D476" s="17"/>
      <c r="E476" s="17"/>
      <c r="F476" s="17"/>
      <c r="G476" s="17"/>
    </row>
    <row r="477" spans="2:7" ht="13.2" x14ac:dyDescent="0.25">
      <c r="B477" s="17"/>
      <c r="C477" s="17"/>
      <c r="D477" s="17"/>
      <c r="E477" s="17"/>
      <c r="F477" s="17"/>
      <c r="G477" s="17"/>
    </row>
    <row r="478" spans="2:7" ht="13.2" x14ac:dyDescent="0.25">
      <c r="B478" s="17"/>
      <c r="C478" s="17"/>
      <c r="D478" s="17"/>
      <c r="E478" s="17"/>
      <c r="F478" s="17"/>
      <c r="G478" s="17"/>
    </row>
    <row r="479" spans="2:7" ht="13.2" x14ac:dyDescent="0.25">
      <c r="B479" s="17"/>
      <c r="C479" s="17"/>
      <c r="D479" s="17"/>
      <c r="E479" s="17"/>
      <c r="F479" s="17"/>
      <c r="G479" s="17"/>
    </row>
    <row r="480" spans="2:7" ht="13.2" x14ac:dyDescent="0.25">
      <c r="B480" s="17"/>
      <c r="C480" s="17"/>
      <c r="D480" s="17"/>
      <c r="E480" s="17"/>
      <c r="F480" s="17"/>
      <c r="G480" s="17"/>
    </row>
    <row r="481" spans="2:7" ht="13.2" x14ac:dyDescent="0.25">
      <c r="B481" s="17"/>
      <c r="C481" s="17"/>
      <c r="D481" s="17"/>
      <c r="E481" s="17"/>
      <c r="F481" s="17"/>
      <c r="G481" s="17"/>
    </row>
    <row r="482" spans="2:7" ht="13.2" x14ac:dyDescent="0.25">
      <c r="B482" s="17"/>
      <c r="C482" s="17"/>
      <c r="D482" s="17"/>
      <c r="E482" s="17"/>
      <c r="F482" s="17"/>
      <c r="G482" s="17"/>
    </row>
    <row r="483" spans="2:7" ht="13.2" x14ac:dyDescent="0.25">
      <c r="B483" s="17"/>
      <c r="C483" s="17"/>
      <c r="D483" s="17"/>
      <c r="E483" s="17"/>
      <c r="F483" s="17"/>
      <c r="G483" s="17"/>
    </row>
    <row r="484" spans="2:7" ht="13.2" x14ac:dyDescent="0.25">
      <c r="B484" s="17"/>
      <c r="C484" s="17"/>
      <c r="D484" s="17"/>
      <c r="E484" s="17"/>
      <c r="F484" s="17"/>
      <c r="G484" s="17"/>
    </row>
    <row r="485" spans="2:7" ht="13.2" x14ac:dyDescent="0.25">
      <c r="B485" s="17"/>
      <c r="C485" s="17"/>
      <c r="D485" s="17"/>
      <c r="E485" s="17"/>
      <c r="F485" s="17"/>
      <c r="G485" s="17"/>
    </row>
    <row r="486" spans="2:7" ht="13.2" x14ac:dyDescent="0.25">
      <c r="B486" s="17"/>
      <c r="C486" s="17"/>
      <c r="D486" s="17"/>
      <c r="E486" s="17"/>
      <c r="F486" s="17"/>
      <c r="G486" s="17"/>
    </row>
    <row r="487" spans="2:7" ht="13.2" x14ac:dyDescent="0.25">
      <c r="B487" s="17"/>
      <c r="C487" s="17"/>
      <c r="D487" s="17"/>
      <c r="E487" s="17"/>
      <c r="F487" s="17"/>
      <c r="G487" s="17"/>
    </row>
    <row r="488" spans="2:7" ht="13.2" x14ac:dyDescent="0.25">
      <c r="B488" s="17"/>
      <c r="C488" s="17"/>
      <c r="D488" s="17"/>
      <c r="E488" s="17"/>
      <c r="F488" s="17"/>
      <c r="G488" s="17"/>
    </row>
    <row r="489" spans="2:7" ht="13.2" x14ac:dyDescent="0.25">
      <c r="B489" s="17"/>
      <c r="C489" s="17"/>
      <c r="D489" s="17"/>
      <c r="E489" s="17"/>
      <c r="F489" s="17"/>
      <c r="G489" s="17"/>
    </row>
    <row r="490" spans="2:7" ht="13.2" x14ac:dyDescent="0.25">
      <c r="B490" s="17"/>
      <c r="C490" s="17"/>
      <c r="D490" s="17"/>
      <c r="E490" s="17"/>
      <c r="F490" s="17"/>
      <c r="G490" s="17"/>
    </row>
    <row r="491" spans="2:7" ht="13.2" x14ac:dyDescent="0.25">
      <c r="B491" s="17"/>
      <c r="C491" s="17"/>
      <c r="D491" s="17"/>
      <c r="E491" s="17"/>
      <c r="F491" s="17"/>
      <c r="G491" s="17"/>
    </row>
    <row r="492" spans="2:7" ht="13.2" x14ac:dyDescent="0.25">
      <c r="B492" s="17"/>
      <c r="C492" s="17"/>
      <c r="D492" s="17"/>
      <c r="E492" s="17"/>
      <c r="F492" s="17"/>
      <c r="G492" s="17"/>
    </row>
    <row r="493" spans="2:7" ht="13.2" x14ac:dyDescent="0.25">
      <c r="B493" s="17"/>
      <c r="C493" s="17"/>
      <c r="D493" s="17"/>
      <c r="E493" s="17"/>
      <c r="F493" s="17"/>
      <c r="G493" s="17"/>
    </row>
    <row r="494" spans="2:7" ht="13.2" x14ac:dyDescent="0.25">
      <c r="B494" s="17"/>
      <c r="C494" s="17"/>
      <c r="D494" s="17"/>
      <c r="E494" s="17"/>
      <c r="F494" s="17"/>
      <c r="G494" s="17"/>
    </row>
    <row r="495" spans="2:7" ht="13.2" x14ac:dyDescent="0.25">
      <c r="B495" s="17"/>
      <c r="C495" s="17"/>
      <c r="D495" s="17"/>
      <c r="E495" s="17"/>
      <c r="F495" s="17"/>
      <c r="G495" s="17"/>
    </row>
    <row r="496" spans="2:7" ht="13.2" x14ac:dyDescent="0.25">
      <c r="B496" s="17"/>
      <c r="C496" s="17"/>
      <c r="D496" s="17"/>
      <c r="E496" s="17"/>
      <c r="F496" s="17"/>
      <c r="G496" s="17"/>
    </row>
    <row r="497" spans="2:7" ht="13.2" x14ac:dyDescent="0.25">
      <c r="B497" s="17"/>
      <c r="C497" s="17"/>
      <c r="D497" s="17"/>
      <c r="E497" s="17"/>
      <c r="F497" s="17"/>
      <c r="G497" s="17"/>
    </row>
    <row r="498" spans="2:7" ht="13.2" x14ac:dyDescent="0.25">
      <c r="B498" s="17"/>
      <c r="C498" s="17"/>
      <c r="D498" s="17"/>
      <c r="E498" s="17"/>
      <c r="F498" s="17"/>
      <c r="G498" s="17"/>
    </row>
    <row r="499" spans="2:7" ht="13.2" x14ac:dyDescent="0.25">
      <c r="B499" s="17"/>
      <c r="C499" s="17"/>
      <c r="D499" s="17"/>
      <c r="E499" s="17"/>
      <c r="F499" s="17"/>
      <c r="G499" s="17"/>
    </row>
    <row r="500" spans="2:7" ht="13.2" x14ac:dyDescent="0.25">
      <c r="B500" s="17"/>
      <c r="C500" s="17"/>
      <c r="D500" s="17"/>
      <c r="E500" s="17"/>
      <c r="F500" s="17"/>
      <c r="G500" s="17"/>
    </row>
    <row r="501" spans="2:7" ht="13.2" x14ac:dyDescent="0.25">
      <c r="B501" s="17"/>
      <c r="C501" s="17"/>
      <c r="D501" s="17"/>
      <c r="E501" s="17"/>
      <c r="F501" s="17"/>
      <c r="G501" s="17"/>
    </row>
    <row r="502" spans="2:7" ht="13.2" x14ac:dyDescent="0.25">
      <c r="B502" s="17"/>
      <c r="C502" s="17"/>
      <c r="D502" s="17"/>
      <c r="E502" s="17"/>
      <c r="F502" s="17"/>
      <c r="G502" s="17"/>
    </row>
    <row r="503" spans="2:7" ht="13.2" x14ac:dyDescent="0.25">
      <c r="B503" s="17"/>
      <c r="C503" s="17"/>
      <c r="D503" s="17"/>
      <c r="E503" s="17"/>
      <c r="F503" s="17"/>
      <c r="G503" s="17"/>
    </row>
    <row r="504" spans="2:7" ht="13.2" x14ac:dyDescent="0.25">
      <c r="B504" s="17"/>
      <c r="C504" s="17"/>
      <c r="D504" s="17"/>
      <c r="E504" s="17"/>
      <c r="F504" s="17"/>
      <c r="G504" s="17"/>
    </row>
    <row r="505" spans="2:7" ht="13.2" x14ac:dyDescent="0.25">
      <c r="B505" s="17"/>
      <c r="C505" s="17"/>
      <c r="D505" s="17"/>
      <c r="E505" s="17"/>
      <c r="F505" s="17"/>
      <c r="G505" s="17"/>
    </row>
    <row r="506" spans="2:7" ht="13.2" x14ac:dyDescent="0.25">
      <c r="B506" s="17"/>
      <c r="C506" s="17"/>
      <c r="D506" s="17"/>
      <c r="E506" s="17"/>
      <c r="F506" s="17"/>
      <c r="G506" s="17"/>
    </row>
    <row r="507" spans="2:7" ht="13.2" x14ac:dyDescent="0.25">
      <c r="B507" s="17"/>
      <c r="C507" s="17"/>
      <c r="D507" s="17"/>
      <c r="E507" s="17"/>
      <c r="F507" s="17"/>
      <c r="G507" s="17"/>
    </row>
    <row r="508" spans="2:7" ht="13.2" x14ac:dyDescent="0.25">
      <c r="B508" s="17"/>
      <c r="C508" s="17"/>
      <c r="D508" s="17"/>
      <c r="E508" s="17"/>
      <c r="F508" s="17"/>
      <c r="G508" s="17"/>
    </row>
    <row r="509" spans="2:7" ht="13.2" x14ac:dyDescent="0.25">
      <c r="B509" s="17"/>
      <c r="C509" s="17"/>
      <c r="D509" s="17"/>
      <c r="E509" s="17"/>
      <c r="F509" s="17"/>
      <c r="G509" s="17"/>
    </row>
    <row r="510" spans="2:7" ht="13.2" x14ac:dyDescent="0.25">
      <c r="B510" s="17"/>
      <c r="C510" s="17"/>
      <c r="D510" s="17"/>
      <c r="E510" s="17"/>
      <c r="F510" s="17"/>
      <c r="G510" s="17"/>
    </row>
    <row r="511" spans="2:7" ht="13.2" x14ac:dyDescent="0.25">
      <c r="B511" s="17"/>
      <c r="C511" s="17"/>
      <c r="D511" s="17"/>
      <c r="E511" s="17"/>
      <c r="F511" s="17"/>
      <c r="G511" s="17"/>
    </row>
    <row r="512" spans="2:7" ht="13.2" x14ac:dyDescent="0.25">
      <c r="B512" s="17"/>
      <c r="C512" s="17"/>
      <c r="D512" s="17"/>
      <c r="E512" s="17"/>
      <c r="F512" s="17"/>
      <c r="G512" s="17"/>
    </row>
    <row r="513" spans="2:7" ht="13.2" x14ac:dyDescent="0.25">
      <c r="B513" s="17"/>
      <c r="C513" s="17"/>
      <c r="D513" s="17"/>
      <c r="E513" s="17"/>
      <c r="F513" s="17"/>
      <c r="G513" s="17"/>
    </row>
    <row r="514" spans="2:7" ht="13.2" x14ac:dyDescent="0.25">
      <c r="B514" s="17"/>
      <c r="C514" s="17"/>
      <c r="D514" s="17"/>
      <c r="E514" s="17"/>
      <c r="F514" s="17"/>
      <c r="G514" s="17"/>
    </row>
    <row r="515" spans="2:7" ht="13.2" x14ac:dyDescent="0.25">
      <c r="B515" s="17"/>
      <c r="C515" s="17"/>
      <c r="D515" s="17"/>
      <c r="E515" s="17"/>
      <c r="F515" s="17"/>
      <c r="G515" s="17"/>
    </row>
    <row r="516" spans="2:7" ht="13.2" x14ac:dyDescent="0.25">
      <c r="B516" s="17"/>
      <c r="C516" s="17"/>
      <c r="D516" s="17"/>
      <c r="E516" s="17"/>
      <c r="F516" s="17"/>
      <c r="G516" s="17"/>
    </row>
    <row r="517" spans="2:7" ht="13.2" x14ac:dyDescent="0.25">
      <c r="B517" s="17"/>
      <c r="C517" s="17"/>
      <c r="D517" s="17"/>
      <c r="E517" s="17"/>
      <c r="F517" s="17"/>
      <c r="G517" s="17"/>
    </row>
    <row r="518" spans="2:7" ht="13.2" x14ac:dyDescent="0.25">
      <c r="B518" s="17"/>
      <c r="C518" s="17"/>
      <c r="D518" s="17"/>
      <c r="E518" s="17"/>
      <c r="F518" s="17"/>
      <c r="G518" s="17"/>
    </row>
    <row r="519" spans="2:7" ht="13.2" x14ac:dyDescent="0.25">
      <c r="B519" s="17"/>
      <c r="C519" s="17"/>
      <c r="D519" s="17"/>
      <c r="E519" s="17"/>
      <c r="F519" s="17"/>
      <c r="G519" s="17"/>
    </row>
    <row r="520" spans="2:7" ht="13.2" x14ac:dyDescent="0.25">
      <c r="B520" s="17"/>
      <c r="C520" s="17"/>
      <c r="D520" s="17"/>
      <c r="E520" s="17"/>
      <c r="F520" s="17"/>
      <c r="G520" s="17"/>
    </row>
    <row r="521" spans="2:7" ht="13.2" x14ac:dyDescent="0.25">
      <c r="B521" s="17"/>
      <c r="C521" s="17"/>
      <c r="D521" s="17"/>
      <c r="E521" s="17"/>
      <c r="F521" s="17"/>
      <c r="G521" s="17"/>
    </row>
    <row r="522" spans="2:7" ht="13.2" x14ac:dyDescent="0.25">
      <c r="B522" s="17"/>
      <c r="C522" s="17"/>
      <c r="D522" s="17"/>
      <c r="E522" s="17"/>
      <c r="F522" s="17"/>
      <c r="G522" s="17"/>
    </row>
    <row r="523" spans="2:7" ht="13.2" x14ac:dyDescent="0.25">
      <c r="B523" s="17"/>
      <c r="C523" s="17"/>
      <c r="D523" s="17"/>
      <c r="E523" s="17"/>
      <c r="F523" s="17"/>
      <c r="G523" s="17"/>
    </row>
    <row r="524" spans="2:7" ht="13.2" x14ac:dyDescent="0.25">
      <c r="B524" s="17"/>
      <c r="C524" s="17"/>
      <c r="D524" s="17"/>
      <c r="E524" s="17"/>
      <c r="F524" s="17"/>
      <c r="G524" s="17"/>
    </row>
    <row r="525" spans="2:7" ht="13.2" x14ac:dyDescent="0.25">
      <c r="B525" s="17"/>
      <c r="C525" s="17"/>
      <c r="D525" s="17"/>
      <c r="E525" s="17"/>
      <c r="F525" s="17"/>
      <c r="G525" s="17"/>
    </row>
    <row r="526" spans="2:7" ht="13.2" x14ac:dyDescent="0.25">
      <c r="B526" s="17"/>
      <c r="C526" s="17"/>
      <c r="D526" s="17"/>
      <c r="E526" s="17"/>
      <c r="F526" s="17"/>
      <c r="G526" s="17"/>
    </row>
    <row r="527" spans="2:7" ht="13.2" x14ac:dyDescent="0.25">
      <c r="B527" s="17"/>
      <c r="C527" s="17"/>
      <c r="D527" s="17"/>
      <c r="E527" s="17"/>
      <c r="F527" s="17"/>
      <c r="G527" s="17"/>
    </row>
    <row r="528" spans="2:7" ht="13.2" x14ac:dyDescent="0.25">
      <c r="B528" s="17"/>
      <c r="C528" s="17"/>
      <c r="D528" s="17"/>
      <c r="E528" s="17"/>
      <c r="F528" s="17"/>
      <c r="G528" s="17"/>
    </row>
    <row r="529" spans="2:7" ht="13.2" x14ac:dyDescent="0.25">
      <c r="B529" s="17"/>
      <c r="C529" s="17"/>
      <c r="D529" s="17"/>
      <c r="E529" s="17"/>
      <c r="F529" s="17"/>
      <c r="G529" s="17"/>
    </row>
    <row r="530" spans="2:7" ht="13.2" x14ac:dyDescent="0.25">
      <c r="B530" s="17"/>
      <c r="C530" s="17"/>
      <c r="D530" s="17"/>
      <c r="E530" s="17"/>
      <c r="F530" s="17"/>
      <c r="G530" s="17"/>
    </row>
    <row r="531" spans="2:7" ht="13.2" x14ac:dyDescent="0.25">
      <c r="B531" s="17"/>
      <c r="C531" s="17"/>
      <c r="D531" s="17"/>
      <c r="E531" s="17"/>
      <c r="F531" s="17"/>
      <c r="G531" s="17"/>
    </row>
    <row r="532" spans="2:7" ht="13.2" x14ac:dyDescent="0.25">
      <c r="B532" s="17"/>
      <c r="C532" s="17"/>
      <c r="D532" s="17"/>
      <c r="E532" s="17"/>
      <c r="F532" s="17"/>
      <c r="G532" s="17"/>
    </row>
    <row r="533" spans="2:7" ht="13.2" x14ac:dyDescent="0.25">
      <c r="B533" s="17"/>
      <c r="C533" s="17"/>
      <c r="D533" s="17"/>
      <c r="E533" s="17"/>
      <c r="F533" s="17"/>
      <c r="G533" s="17"/>
    </row>
    <row r="534" spans="2:7" ht="13.2" x14ac:dyDescent="0.25">
      <c r="B534" s="17"/>
      <c r="C534" s="17"/>
      <c r="D534" s="17"/>
      <c r="E534" s="17"/>
      <c r="F534" s="17"/>
      <c r="G534" s="17"/>
    </row>
    <row r="535" spans="2:7" ht="13.2" x14ac:dyDescent="0.25">
      <c r="B535" s="17"/>
      <c r="C535" s="17"/>
      <c r="D535" s="17"/>
      <c r="E535" s="17"/>
      <c r="F535" s="17"/>
      <c r="G535" s="17"/>
    </row>
    <row r="536" spans="2:7" ht="13.2" x14ac:dyDescent="0.25">
      <c r="B536" s="17"/>
      <c r="C536" s="17"/>
      <c r="D536" s="17"/>
      <c r="E536" s="17"/>
      <c r="F536" s="17"/>
      <c r="G536" s="17"/>
    </row>
    <row r="537" spans="2:7" ht="13.2" x14ac:dyDescent="0.25">
      <c r="B537" s="17"/>
      <c r="C537" s="17"/>
      <c r="D537" s="17"/>
      <c r="E537" s="17"/>
      <c r="F537" s="17"/>
      <c r="G537" s="17"/>
    </row>
    <row r="538" spans="2:7" ht="13.2" x14ac:dyDescent="0.25">
      <c r="B538" s="17"/>
      <c r="C538" s="17"/>
      <c r="D538" s="17"/>
      <c r="E538" s="17"/>
      <c r="F538" s="17"/>
      <c r="G538" s="17"/>
    </row>
    <row r="539" spans="2:7" ht="13.2" x14ac:dyDescent="0.25">
      <c r="B539" s="17"/>
      <c r="C539" s="17"/>
      <c r="D539" s="17"/>
      <c r="E539" s="17"/>
      <c r="F539" s="17"/>
      <c r="G539" s="17"/>
    </row>
    <row r="540" spans="2:7" ht="13.2" x14ac:dyDescent="0.25">
      <c r="B540" s="17"/>
      <c r="C540" s="17"/>
      <c r="D540" s="17"/>
      <c r="E540" s="17"/>
      <c r="F540" s="17"/>
      <c r="G540" s="17"/>
    </row>
    <row r="541" spans="2:7" ht="13.2" x14ac:dyDescent="0.25">
      <c r="B541" s="17"/>
      <c r="C541" s="17"/>
      <c r="D541" s="17"/>
      <c r="E541" s="17"/>
      <c r="F541" s="17"/>
      <c r="G541" s="17"/>
    </row>
    <row r="542" spans="2:7" ht="13.2" x14ac:dyDescent="0.25">
      <c r="B542" s="17"/>
      <c r="C542" s="17"/>
      <c r="D542" s="17"/>
      <c r="E542" s="17"/>
      <c r="F542" s="17"/>
      <c r="G542" s="17"/>
    </row>
    <row r="543" spans="2:7" ht="13.2" x14ac:dyDescent="0.25">
      <c r="B543" s="17"/>
      <c r="C543" s="17"/>
      <c r="D543" s="17"/>
      <c r="E543" s="17"/>
      <c r="F543" s="17"/>
      <c r="G543" s="17"/>
    </row>
    <row r="544" spans="2:7" ht="13.2" x14ac:dyDescent="0.25">
      <c r="B544" s="17"/>
      <c r="C544" s="17"/>
      <c r="D544" s="17"/>
      <c r="E544" s="17"/>
      <c r="F544" s="17"/>
      <c r="G544" s="17"/>
    </row>
    <row r="545" spans="2:7" ht="13.2" x14ac:dyDescent="0.25">
      <c r="B545" s="17"/>
      <c r="C545" s="17"/>
      <c r="D545" s="17"/>
      <c r="E545" s="17"/>
      <c r="F545" s="17"/>
      <c r="G545" s="17"/>
    </row>
    <row r="546" spans="2:7" ht="13.2" x14ac:dyDescent="0.25">
      <c r="B546" s="17"/>
      <c r="C546" s="17"/>
      <c r="D546" s="17"/>
      <c r="E546" s="17"/>
      <c r="F546" s="17"/>
      <c r="G546" s="17"/>
    </row>
    <row r="547" spans="2:7" ht="13.2" x14ac:dyDescent="0.25">
      <c r="B547" s="17"/>
      <c r="C547" s="17"/>
      <c r="D547" s="17"/>
      <c r="E547" s="17"/>
      <c r="F547" s="17"/>
      <c r="G547" s="17"/>
    </row>
    <row r="548" spans="2:7" ht="13.2" x14ac:dyDescent="0.25">
      <c r="B548" s="17"/>
      <c r="C548" s="17"/>
      <c r="D548" s="17"/>
      <c r="E548" s="17"/>
      <c r="F548" s="17"/>
      <c r="G548" s="17"/>
    </row>
    <row r="549" spans="2:7" ht="13.2" x14ac:dyDescent="0.25">
      <c r="B549" s="17"/>
      <c r="C549" s="17"/>
      <c r="D549" s="17"/>
      <c r="E549" s="17"/>
      <c r="F549" s="17"/>
      <c r="G549" s="17"/>
    </row>
    <row r="550" spans="2:7" ht="13.2" x14ac:dyDescent="0.25">
      <c r="B550" s="17"/>
      <c r="C550" s="17"/>
      <c r="D550" s="17"/>
      <c r="E550" s="17"/>
      <c r="F550" s="17"/>
      <c r="G550" s="17"/>
    </row>
    <row r="551" spans="2:7" ht="13.2" x14ac:dyDescent="0.25">
      <c r="B551" s="17"/>
      <c r="C551" s="17"/>
      <c r="D551" s="17"/>
      <c r="E551" s="17"/>
      <c r="F551" s="17"/>
      <c r="G551" s="17"/>
    </row>
    <row r="552" spans="2:7" ht="13.2" x14ac:dyDescent="0.25">
      <c r="B552" s="17"/>
      <c r="C552" s="17"/>
      <c r="D552" s="17"/>
      <c r="E552" s="17"/>
      <c r="F552" s="17"/>
      <c r="G552" s="17"/>
    </row>
    <row r="553" spans="2:7" ht="13.2" x14ac:dyDescent="0.25">
      <c r="B553" s="17"/>
      <c r="C553" s="17"/>
      <c r="D553" s="17"/>
      <c r="E553" s="17"/>
      <c r="F553" s="17"/>
      <c r="G553" s="17"/>
    </row>
    <row r="554" spans="2:7" ht="13.2" x14ac:dyDescent="0.25">
      <c r="B554" s="17"/>
      <c r="C554" s="17"/>
      <c r="D554" s="17"/>
      <c r="E554" s="17"/>
      <c r="F554" s="17"/>
      <c r="G554" s="17"/>
    </row>
    <row r="555" spans="2:7" ht="13.2" x14ac:dyDescent="0.25">
      <c r="B555" s="17"/>
      <c r="C555" s="17"/>
      <c r="D555" s="17"/>
      <c r="E555" s="17"/>
      <c r="F555" s="17"/>
      <c r="G555" s="17"/>
    </row>
    <row r="556" spans="2:7" ht="13.2" x14ac:dyDescent="0.25">
      <c r="B556" s="17"/>
      <c r="C556" s="17"/>
      <c r="D556" s="17"/>
      <c r="E556" s="17"/>
      <c r="F556" s="17"/>
      <c r="G556" s="17"/>
    </row>
    <row r="557" spans="2:7" ht="13.2" x14ac:dyDescent="0.25">
      <c r="B557" s="17"/>
      <c r="C557" s="17"/>
      <c r="D557" s="17"/>
      <c r="E557" s="17"/>
      <c r="F557" s="17"/>
      <c r="G557" s="17"/>
    </row>
    <row r="558" spans="2:7" ht="13.2" x14ac:dyDescent="0.25">
      <c r="B558" s="17"/>
      <c r="C558" s="17"/>
      <c r="D558" s="17"/>
      <c r="E558" s="17"/>
      <c r="F558" s="17"/>
      <c r="G558" s="17"/>
    </row>
    <row r="559" spans="2:7" ht="13.2" x14ac:dyDescent="0.25">
      <c r="B559" s="17"/>
      <c r="C559" s="17"/>
      <c r="D559" s="17"/>
      <c r="E559" s="17"/>
      <c r="F559" s="17"/>
      <c r="G559" s="17"/>
    </row>
    <row r="560" spans="2:7" ht="13.2" x14ac:dyDescent="0.25">
      <c r="B560" s="17"/>
      <c r="C560" s="17"/>
      <c r="D560" s="17"/>
      <c r="E560" s="17"/>
      <c r="F560" s="17"/>
      <c r="G560" s="17"/>
    </row>
    <row r="561" spans="2:7" ht="13.2" x14ac:dyDescent="0.25">
      <c r="B561" s="17"/>
      <c r="C561" s="17"/>
      <c r="D561" s="17"/>
      <c r="E561" s="17"/>
      <c r="F561" s="17"/>
      <c r="G561" s="17"/>
    </row>
    <row r="562" spans="2:7" ht="13.2" x14ac:dyDescent="0.25">
      <c r="B562" s="17"/>
      <c r="C562" s="17"/>
      <c r="D562" s="17"/>
      <c r="E562" s="17"/>
      <c r="F562" s="17"/>
      <c r="G562" s="17"/>
    </row>
    <row r="563" spans="2:7" ht="13.2" x14ac:dyDescent="0.25">
      <c r="B563" s="17"/>
      <c r="C563" s="17"/>
      <c r="D563" s="17"/>
      <c r="E563" s="17"/>
      <c r="F563" s="17"/>
      <c r="G563" s="17"/>
    </row>
    <row r="564" spans="2:7" ht="13.2" x14ac:dyDescent="0.25">
      <c r="B564" s="17"/>
      <c r="C564" s="17"/>
      <c r="D564" s="17"/>
      <c r="E564" s="17"/>
      <c r="F564" s="17"/>
      <c r="G564" s="17"/>
    </row>
    <row r="565" spans="2:7" ht="13.2" x14ac:dyDescent="0.25">
      <c r="B565" s="17"/>
      <c r="C565" s="17"/>
      <c r="D565" s="17"/>
      <c r="E565" s="17"/>
      <c r="F565" s="17"/>
      <c r="G565" s="17"/>
    </row>
    <row r="566" spans="2:7" ht="13.2" x14ac:dyDescent="0.25">
      <c r="B566" s="17"/>
      <c r="C566" s="17"/>
      <c r="D566" s="17"/>
      <c r="E566" s="17"/>
      <c r="F566" s="17"/>
      <c r="G566" s="17"/>
    </row>
    <row r="567" spans="2:7" ht="13.2" x14ac:dyDescent="0.25">
      <c r="B567" s="17"/>
      <c r="C567" s="17"/>
      <c r="D567" s="17"/>
      <c r="E567" s="17"/>
      <c r="F567" s="17"/>
      <c r="G567" s="17"/>
    </row>
    <row r="568" spans="2:7" ht="13.2" x14ac:dyDescent="0.25">
      <c r="B568" s="17"/>
      <c r="C568" s="17"/>
      <c r="D568" s="17"/>
      <c r="E568" s="17"/>
      <c r="F568" s="17"/>
      <c r="G568" s="17"/>
    </row>
    <row r="569" spans="2:7" ht="13.2" x14ac:dyDescent="0.25">
      <c r="B569" s="17"/>
      <c r="C569" s="17"/>
      <c r="D569" s="17"/>
      <c r="E569" s="17"/>
      <c r="F569" s="17"/>
      <c r="G569" s="17"/>
    </row>
    <row r="570" spans="2:7" ht="13.2" x14ac:dyDescent="0.25">
      <c r="B570" s="17"/>
      <c r="C570" s="17"/>
      <c r="D570" s="17"/>
      <c r="E570" s="17"/>
      <c r="F570" s="17"/>
      <c r="G570" s="17"/>
    </row>
    <row r="571" spans="2:7" ht="13.2" x14ac:dyDescent="0.25">
      <c r="B571" s="17"/>
      <c r="C571" s="17"/>
      <c r="D571" s="17"/>
      <c r="E571" s="17"/>
      <c r="F571" s="17"/>
      <c r="G571" s="17"/>
    </row>
    <row r="572" spans="2:7" ht="13.2" x14ac:dyDescent="0.25">
      <c r="B572" s="17"/>
      <c r="C572" s="17"/>
      <c r="D572" s="17"/>
      <c r="E572" s="17"/>
      <c r="F572" s="17"/>
      <c r="G572" s="17"/>
    </row>
    <row r="573" spans="2:7" ht="13.2" x14ac:dyDescent="0.25">
      <c r="B573" s="17"/>
      <c r="C573" s="17"/>
      <c r="D573" s="17"/>
      <c r="E573" s="17"/>
      <c r="F573" s="17"/>
      <c r="G573" s="17"/>
    </row>
    <row r="574" spans="2:7" ht="13.2" x14ac:dyDescent="0.25">
      <c r="B574" s="17"/>
      <c r="C574" s="17"/>
      <c r="D574" s="17"/>
      <c r="E574" s="17"/>
      <c r="F574" s="17"/>
      <c r="G574" s="17"/>
    </row>
    <row r="575" spans="2:7" ht="13.2" x14ac:dyDescent="0.25">
      <c r="B575" s="17"/>
      <c r="C575" s="17"/>
      <c r="D575" s="17"/>
      <c r="E575" s="17"/>
      <c r="F575" s="17"/>
      <c r="G575" s="17"/>
    </row>
    <row r="576" spans="2:7" ht="13.2" x14ac:dyDescent="0.25">
      <c r="B576" s="17"/>
      <c r="C576" s="17"/>
      <c r="D576" s="17"/>
      <c r="E576" s="17"/>
      <c r="F576" s="17"/>
      <c r="G576" s="17"/>
    </row>
    <row r="577" spans="2:7" ht="13.2" x14ac:dyDescent="0.25">
      <c r="B577" s="17"/>
      <c r="C577" s="17"/>
      <c r="D577" s="17"/>
      <c r="E577" s="17"/>
      <c r="F577" s="17"/>
      <c r="G577" s="17"/>
    </row>
    <row r="578" spans="2:7" ht="13.2" x14ac:dyDescent="0.25">
      <c r="B578" s="17"/>
      <c r="C578" s="17"/>
      <c r="D578" s="17"/>
      <c r="E578" s="17"/>
      <c r="F578" s="17"/>
      <c r="G578" s="17"/>
    </row>
    <row r="579" spans="2:7" ht="13.2" x14ac:dyDescent="0.25">
      <c r="B579" s="17"/>
      <c r="C579" s="17"/>
      <c r="D579" s="17"/>
      <c r="E579" s="17"/>
      <c r="F579" s="17"/>
      <c r="G579" s="17"/>
    </row>
    <row r="580" spans="2:7" ht="13.2" x14ac:dyDescent="0.25">
      <c r="B580" s="17"/>
      <c r="C580" s="17"/>
      <c r="D580" s="17"/>
      <c r="E580" s="17"/>
      <c r="F580" s="17"/>
      <c r="G580" s="17"/>
    </row>
    <row r="581" spans="2:7" ht="13.2" x14ac:dyDescent="0.25">
      <c r="B581" s="17"/>
      <c r="C581" s="17"/>
      <c r="D581" s="17"/>
      <c r="E581" s="17"/>
      <c r="F581" s="17"/>
      <c r="G581" s="17"/>
    </row>
    <row r="582" spans="2:7" ht="13.2" x14ac:dyDescent="0.25">
      <c r="B582" s="17"/>
      <c r="C582" s="17"/>
      <c r="D582" s="17"/>
      <c r="E582" s="17"/>
      <c r="F582" s="17"/>
      <c r="G582" s="17"/>
    </row>
    <row r="583" spans="2:7" ht="13.2" x14ac:dyDescent="0.25">
      <c r="B583" s="17"/>
      <c r="C583" s="17"/>
      <c r="D583" s="17"/>
      <c r="E583" s="17"/>
      <c r="F583" s="17"/>
      <c r="G583" s="17"/>
    </row>
    <row r="584" spans="2:7" ht="13.2" x14ac:dyDescent="0.25">
      <c r="B584" s="17"/>
      <c r="C584" s="17"/>
      <c r="D584" s="17"/>
      <c r="E584" s="17"/>
      <c r="F584" s="17"/>
      <c r="G584" s="17"/>
    </row>
    <row r="585" spans="2:7" ht="13.2" x14ac:dyDescent="0.25">
      <c r="B585" s="17"/>
      <c r="C585" s="17"/>
      <c r="D585" s="17"/>
      <c r="E585" s="17"/>
      <c r="F585" s="17"/>
      <c r="G585" s="17"/>
    </row>
    <row r="586" spans="2:7" ht="13.2" x14ac:dyDescent="0.25">
      <c r="B586" s="17"/>
      <c r="C586" s="17"/>
      <c r="D586" s="17"/>
      <c r="E586" s="17"/>
      <c r="F586" s="17"/>
      <c r="G586" s="17"/>
    </row>
    <row r="587" spans="2:7" ht="13.2" x14ac:dyDescent="0.25">
      <c r="B587" s="17"/>
      <c r="C587" s="17"/>
      <c r="D587" s="17"/>
      <c r="E587" s="17"/>
      <c r="F587" s="17"/>
      <c r="G587" s="17"/>
    </row>
    <row r="588" spans="2:7" ht="13.2" x14ac:dyDescent="0.25">
      <c r="B588" s="17"/>
      <c r="C588" s="17"/>
      <c r="D588" s="17"/>
      <c r="E588" s="17"/>
      <c r="F588" s="17"/>
      <c r="G588" s="17"/>
    </row>
    <row r="589" spans="2:7" ht="13.2" x14ac:dyDescent="0.25">
      <c r="B589" s="17"/>
      <c r="C589" s="17"/>
      <c r="D589" s="17"/>
      <c r="E589" s="17"/>
      <c r="F589" s="17"/>
      <c r="G589" s="17"/>
    </row>
    <row r="590" spans="2:7" ht="13.2" x14ac:dyDescent="0.25">
      <c r="B590" s="17"/>
      <c r="C590" s="17"/>
      <c r="D590" s="17"/>
      <c r="E590" s="17"/>
      <c r="F590" s="17"/>
      <c r="G590" s="17"/>
    </row>
    <row r="591" spans="2:7" ht="13.2" x14ac:dyDescent="0.25">
      <c r="B591" s="17"/>
      <c r="C591" s="17"/>
      <c r="D591" s="17"/>
      <c r="E591" s="17"/>
      <c r="F591" s="17"/>
      <c r="G591" s="17"/>
    </row>
    <row r="592" spans="2:7" ht="13.2" x14ac:dyDescent="0.25">
      <c r="B592" s="17"/>
      <c r="C592" s="17"/>
      <c r="D592" s="17"/>
      <c r="E592" s="17"/>
      <c r="F592" s="17"/>
      <c r="G592" s="17"/>
    </row>
    <row r="593" spans="2:7" ht="13.2" x14ac:dyDescent="0.25">
      <c r="B593" s="17"/>
      <c r="C593" s="17"/>
      <c r="D593" s="17"/>
      <c r="E593" s="17"/>
      <c r="F593" s="17"/>
      <c r="G593" s="17"/>
    </row>
    <row r="594" spans="2:7" ht="13.2" x14ac:dyDescent="0.25">
      <c r="B594" s="17"/>
      <c r="C594" s="17"/>
      <c r="D594" s="17"/>
      <c r="E594" s="17"/>
      <c r="F594" s="17"/>
      <c r="G594" s="17"/>
    </row>
    <row r="595" spans="2:7" ht="13.2" x14ac:dyDescent="0.25">
      <c r="B595" s="17"/>
      <c r="C595" s="17"/>
      <c r="D595" s="17"/>
      <c r="E595" s="17"/>
      <c r="F595" s="17"/>
      <c r="G595" s="17"/>
    </row>
    <row r="596" spans="2:7" ht="13.2" x14ac:dyDescent="0.25">
      <c r="B596" s="17"/>
      <c r="C596" s="17"/>
      <c r="D596" s="17"/>
      <c r="E596" s="17"/>
      <c r="F596" s="17"/>
      <c r="G596" s="17"/>
    </row>
    <row r="597" spans="2:7" ht="13.2" x14ac:dyDescent="0.25">
      <c r="B597" s="17"/>
      <c r="C597" s="17"/>
      <c r="D597" s="17"/>
      <c r="E597" s="17"/>
      <c r="F597" s="17"/>
      <c r="G597" s="17"/>
    </row>
    <row r="598" spans="2:7" ht="13.2" x14ac:dyDescent="0.25">
      <c r="B598" s="17"/>
      <c r="C598" s="17"/>
      <c r="D598" s="17"/>
      <c r="E598" s="17"/>
      <c r="F598" s="17"/>
      <c r="G598" s="17"/>
    </row>
    <row r="599" spans="2:7" ht="13.2" x14ac:dyDescent="0.25">
      <c r="B599" s="17"/>
      <c r="C599" s="17"/>
      <c r="D599" s="17"/>
      <c r="E599" s="17"/>
      <c r="F599" s="17"/>
      <c r="G599" s="17"/>
    </row>
    <row r="600" spans="2:7" ht="13.2" x14ac:dyDescent="0.25">
      <c r="B600" s="17"/>
      <c r="C600" s="17"/>
      <c r="D600" s="17"/>
      <c r="E600" s="17"/>
      <c r="F600" s="17"/>
      <c r="G600" s="17"/>
    </row>
    <row r="601" spans="2:7" ht="13.2" x14ac:dyDescent="0.25">
      <c r="B601" s="17"/>
      <c r="C601" s="17"/>
      <c r="D601" s="17"/>
      <c r="E601" s="17"/>
      <c r="F601" s="17"/>
      <c r="G601" s="17"/>
    </row>
    <row r="602" spans="2:7" ht="13.2" x14ac:dyDescent="0.25">
      <c r="B602" s="17"/>
      <c r="C602" s="17"/>
      <c r="D602" s="17"/>
      <c r="E602" s="17"/>
      <c r="F602" s="17"/>
      <c r="G602" s="17"/>
    </row>
    <row r="603" spans="2:7" ht="13.2" x14ac:dyDescent="0.25">
      <c r="B603" s="17"/>
      <c r="C603" s="17"/>
      <c r="D603" s="17"/>
      <c r="E603" s="17"/>
      <c r="F603" s="17"/>
      <c r="G603" s="17"/>
    </row>
    <row r="604" spans="2:7" ht="13.2" x14ac:dyDescent="0.25">
      <c r="B604" s="17"/>
      <c r="C604" s="17"/>
      <c r="D604" s="17"/>
      <c r="E604" s="17"/>
      <c r="F604" s="17"/>
      <c r="G604" s="17"/>
    </row>
    <row r="605" spans="2:7" ht="13.2" x14ac:dyDescent="0.25">
      <c r="B605" s="17"/>
      <c r="C605" s="17"/>
      <c r="D605" s="17"/>
      <c r="E605" s="17"/>
      <c r="F605" s="17"/>
      <c r="G605" s="17"/>
    </row>
    <row r="606" spans="2:7" ht="13.2" x14ac:dyDescent="0.25">
      <c r="B606" s="17"/>
      <c r="C606" s="17"/>
      <c r="D606" s="17"/>
      <c r="E606" s="17"/>
      <c r="F606" s="17"/>
      <c r="G606" s="17"/>
    </row>
    <row r="607" spans="2:7" ht="13.2" x14ac:dyDescent="0.25">
      <c r="B607" s="17"/>
      <c r="C607" s="17"/>
      <c r="D607" s="17"/>
      <c r="E607" s="17"/>
      <c r="F607" s="17"/>
      <c r="G607" s="17"/>
    </row>
    <row r="608" spans="2:7" ht="13.2" x14ac:dyDescent="0.25">
      <c r="B608" s="17"/>
      <c r="C608" s="17"/>
      <c r="D608" s="17"/>
      <c r="E608" s="17"/>
      <c r="F608" s="17"/>
      <c r="G608" s="17"/>
    </row>
    <row r="609" spans="2:7" ht="13.2" x14ac:dyDescent="0.25">
      <c r="B609" s="17"/>
      <c r="C609" s="17"/>
      <c r="D609" s="17"/>
      <c r="E609" s="17"/>
      <c r="F609" s="17"/>
      <c r="G609" s="17"/>
    </row>
    <row r="610" spans="2:7" ht="13.2" x14ac:dyDescent="0.25">
      <c r="B610" s="17"/>
      <c r="C610" s="17"/>
      <c r="D610" s="17"/>
      <c r="E610" s="17"/>
      <c r="F610" s="17"/>
      <c r="G610" s="17"/>
    </row>
    <row r="611" spans="2:7" ht="13.2" x14ac:dyDescent="0.25">
      <c r="B611" s="17"/>
      <c r="C611" s="17"/>
      <c r="D611" s="17"/>
      <c r="E611" s="17"/>
      <c r="F611" s="17"/>
      <c r="G611" s="17"/>
    </row>
    <row r="612" spans="2:7" ht="13.2" x14ac:dyDescent="0.25">
      <c r="B612" s="17"/>
      <c r="C612" s="17"/>
      <c r="D612" s="17"/>
      <c r="E612" s="17"/>
      <c r="F612" s="17"/>
      <c r="G612" s="17"/>
    </row>
    <row r="613" spans="2:7" ht="13.2" x14ac:dyDescent="0.25">
      <c r="B613" s="17"/>
      <c r="C613" s="17"/>
      <c r="D613" s="17"/>
      <c r="E613" s="17"/>
      <c r="F613" s="17"/>
      <c r="G613" s="17"/>
    </row>
    <row r="614" spans="2:7" ht="13.2" x14ac:dyDescent="0.25">
      <c r="B614" s="17"/>
      <c r="C614" s="17"/>
      <c r="D614" s="17"/>
      <c r="E614" s="17"/>
      <c r="F614" s="17"/>
      <c r="G614" s="17"/>
    </row>
    <row r="615" spans="2:7" ht="13.2" x14ac:dyDescent="0.25">
      <c r="B615" s="17"/>
      <c r="C615" s="17"/>
      <c r="D615" s="17"/>
      <c r="E615" s="17"/>
      <c r="F615" s="17"/>
      <c r="G615" s="17"/>
    </row>
    <row r="616" spans="2:7" ht="13.2" x14ac:dyDescent="0.25">
      <c r="B616" s="17"/>
      <c r="C616" s="17"/>
      <c r="D616" s="17"/>
      <c r="E616" s="17"/>
      <c r="F616" s="17"/>
      <c r="G616" s="17"/>
    </row>
    <row r="617" spans="2:7" ht="13.2" x14ac:dyDescent="0.25">
      <c r="B617" s="17"/>
      <c r="C617" s="17"/>
      <c r="D617" s="17"/>
      <c r="E617" s="17"/>
      <c r="F617" s="17"/>
      <c r="G617" s="17"/>
    </row>
    <row r="618" spans="2:7" ht="13.2" x14ac:dyDescent="0.25">
      <c r="B618" s="17"/>
      <c r="C618" s="17"/>
      <c r="D618" s="17"/>
      <c r="E618" s="17"/>
      <c r="F618" s="17"/>
      <c r="G618" s="17"/>
    </row>
    <row r="619" spans="2:7" ht="13.2" x14ac:dyDescent="0.25">
      <c r="B619" s="17"/>
      <c r="C619" s="17"/>
      <c r="D619" s="17"/>
      <c r="E619" s="17"/>
      <c r="F619" s="17"/>
      <c r="G619" s="17"/>
    </row>
    <row r="620" spans="2:7" ht="13.2" x14ac:dyDescent="0.25">
      <c r="B620" s="17"/>
      <c r="C620" s="17"/>
      <c r="D620" s="17"/>
      <c r="E620" s="17"/>
      <c r="F620" s="17"/>
      <c r="G620" s="17"/>
    </row>
    <row r="621" spans="2:7" ht="13.2" x14ac:dyDescent="0.25">
      <c r="B621" s="17"/>
      <c r="C621" s="17"/>
      <c r="D621" s="17"/>
      <c r="E621" s="17"/>
      <c r="F621" s="17"/>
      <c r="G621" s="17"/>
    </row>
    <row r="622" spans="2:7" ht="13.2" x14ac:dyDescent="0.25">
      <c r="B622" s="17"/>
      <c r="C622" s="17"/>
      <c r="D622" s="17"/>
      <c r="E622" s="17"/>
      <c r="F622" s="17"/>
      <c r="G622" s="17"/>
    </row>
    <row r="623" spans="2:7" ht="13.2" x14ac:dyDescent="0.25">
      <c r="B623" s="17"/>
      <c r="C623" s="17"/>
      <c r="D623" s="17"/>
      <c r="E623" s="17"/>
      <c r="F623" s="17"/>
      <c r="G623" s="17"/>
    </row>
    <row r="624" spans="2:7" ht="13.2" x14ac:dyDescent="0.25">
      <c r="B624" s="17"/>
      <c r="C624" s="17"/>
      <c r="D624" s="17"/>
      <c r="E624" s="17"/>
      <c r="F624" s="17"/>
      <c r="G624" s="17"/>
    </row>
    <row r="625" spans="2:7" ht="13.2" x14ac:dyDescent="0.25">
      <c r="B625" s="17"/>
      <c r="C625" s="17"/>
      <c r="D625" s="17"/>
      <c r="E625" s="17"/>
      <c r="F625" s="17"/>
      <c r="G625" s="17"/>
    </row>
    <row r="626" spans="2:7" ht="13.2" x14ac:dyDescent="0.25">
      <c r="B626" s="17"/>
      <c r="C626" s="17"/>
      <c r="D626" s="17"/>
      <c r="E626" s="17"/>
      <c r="F626" s="17"/>
      <c r="G626" s="17"/>
    </row>
    <row r="627" spans="2:7" ht="13.2" x14ac:dyDescent="0.25">
      <c r="B627" s="17"/>
      <c r="C627" s="17"/>
      <c r="D627" s="17"/>
      <c r="E627" s="17"/>
      <c r="F627" s="17"/>
      <c r="G627" s="17"/>
    </row>
    <row r="628" spans="2:7" ht="13.2" x14ac:dyDescent="0.25">
      <c r="B628" s="17"/>
      <c r="C628" s="17"/>
      <c r="D628" s="17"/>
      <c r="E628" s="17"/>
      <c r="F628" s="17"/>
      <c r="G628" s="17"/>
    </row>
    <row r="629" spans="2:7" ht="13.2" x14ac:dyDescent="0.25">
      <c r="B629" s="17"/>
      <c r="C629" s="17"/>
      <c r="D629" s="17"/>
      <c r="E629" s="17"/>
      <c r="F629" s="17"/>
      <c r="G629" s="17"/>
    </row>
    <row r="630" spans="2:7" ht="13.2" x14ac:dyDescent="0.25">
      <c r="B630" s="17"/>
      <c r="C630" s="17"/>
      <c r="D630" s="17"/>
      <c r="E630" s="17"/>
      <c r="F630" s="17"/>
      <c r="G630" s="17"/>
    </row>
    <row r="631" spans="2:7" ht="13.2" x14ac:dyDescent="0.25">
      <c r="B631" s="17"/>
      <c r="C631" s="17"/>
      <c r="D631" s="17"/>
      <c r="E631" s="17"/>
      <c r="F631" s="17"/>
      <c r="G631" s="17"/>
    </row>
    <row r="632" spans="2:7" ht="13.2" x14ac:dyDescent="0.25">
      <c r="B632" s="17"/>
      <c r="C632" s="17"/>
      <c r="D632" s="17"/>
      <c r="E632" s="17"/>
      <c r="F632" s="17"/>
      <c r="G632" s="17"/>
    </row>
    <row r="633" spans="2:7" ht="13.2" x14ac:dyDescent="0.25">
      <c r="B633" s="17"/>
      <c r="C633" s="17"/>
      <c r="D633" s="17"/>
      <c r="E633" s="17"/>
      <c r="F633" s="17"/>
      <c r="G633" s="17"/>
    </row>
    <row r="634" spans="2:7" ht="13.2" x14ac:dyDescent="0.25">
      <c r="B634" s="17"/>
      <c r="C634" s="17"/>
      <c r="D634" s="17"/>
      <c r="E634" s="17"/>
      <c r="F634" s="17"/>
      <c r="G634" s="17"/>
    </row>
    <row r="635" spans="2:7" ht="13.2" x14ac:dyDescent="0.25">
      <c r="B635" s="17"/>
      <c r="C635" s="17"/>
      <c r="D635" s="17"/>
      <c r="E635" s="17"/>
      <c r="F635" s="17"/>
      <c r="G635" s="17"/>
    </row>
    <row r="636" spans="2:7" ht="13.2" x14ac:dyDescent="0.25">
      <c r="B636" s="17"/>
      <c r="C636" s="17"/>
      <c r="D636" s="17"/>
      <c r="E636" s="17"/>
      <c r="F636" s="17"/>
      <c r="G636" s="17"/>
    </row>
    <row r="637" spans="2:7" ht="13.2" x14ac:dyDescent="0.25">
      <c r="B637" s="17"/>
      <c r="C637" s="17"/>
      <c r="D637" s="17"/>
      <c r="E637" s="17"/>
      <c r="F637" s="17"/>
      <c r="G637" s="17"/>
    </row>
    <row r="638" spans="2:7" ht="13.2" x14ac:dyDescent="0.25">
      <c r="B638" s="17"/>
      <c r="C638" s="17"/>
      <c r="D638" s="17"/>
      <c r="E638" s="17"/>
      <c r="F638" s="17"/>
      <c r="G638" s="17"/>
    </row>
    <row r="639" spans="2:7" ht="13.2" x14ac:dyDescent="0.25">
      <c r="B639" s="17"/>
      <c r="C639" s="17"/>
      <c r="D639" s="17"/>
      <c r="E639" s="17"/>
      <c r="F639" s="17"/>
      <c r="G639" s="17"/>
    </row>
    <row r="640" spans="2:7" ht="13.2" x14ac:dyDescent="0.25">
      <c r="B640" s="17"/>
      <c r="C640" s="17"/>
      <c r="D640" s="17"/>
      <c r="E640" s="17"/>
      <c r="F640" s="17"/>
      <c r="G640" s="17"/>
    </row>
    <row r="641" spans="2:7" ht="13.2" x14ac:dyDescent="0.25">
      <c r="B641" s="17"/>
      <c r="C641" s="17"/>
      <c r="D641" s="17"/>
      <c r="E641" s="17"/>
      <c r="F641" s="17"/>
      <c r="G641" s="17"/>
    </row>
    <row r="642" spans="2:7" ht="13.2" x14ac:dyDescent="0.25">
      <c r="B642" s="17"/>
      <c r="C642" s="17"/>
      <c r="D642" s="17"/>
      <c r="E642" s="17"/>
      <c r="F642" s="17"/>
      <c r="G642" s="17"/>
    </row>
    <row r="643" spans="2:7" ht="13.2" x14ac:dyDescent="0.25">
      <c r="B643" s="17"/>
      <c r="C643" s="17"/>
      <c r="D643" s="17"/>
      <c r="E643" s="17"/>
      <c r="F643" s="17"/>
      <c r="G643" s="17"/>
    </row>
    <row r="644" spans="2:7" ht="13.2" x14ac:dyDescent="0.25">
      <c r="B644" s="17"/>
      <c r="C644" s="17"/>
      <c r="D644" s="17"/>
      <c r="E644" s="17"/>
      <c r="F644" s="17"/>
      <c r="G644" s="17"/>
    </row>
    <row r="645" spans="2:7" ht="13.2" x14ac:dyDescent="0.25">
      <c r="B645" s="17"/>
      <c r="C645" s="17"/>
      <c r="D645" s="17"/>
      <c r="E645" s="17"/>
      <c r="F645" s="17"/>
      <c r="G645" s="17"/>
    </row>
    <row r="646" spans="2:7" ht="13.2" x14ac:dyDescent="0.25">
      <c r="B646" s="17"/>
      <c r="C646" s="17"/>
      <c r="D646" s="17"/>
      <c r="E646" s="17"/>
      <c r="F646" s="17"/>
      <c r="G646" s="17"/>
    </row>
    <row r="647" spans="2:7" ht="13.2" x14ac:dyDescent="0.25">
      <c r="B647" s="17"/>
      <c r="C647" s="17"/>
      <c r="D647" s="17"/>
      <c r="E647" s="17"/>
      <c r="F647" s="17"/>
      <c r="G647" s="17"/>
    </row>
    <row r="648" spans="2:7" ht="13.2" x14ac:dyDescent="0.25">
      <c r="B648" s="17"/>
      <c r="C648" s="17"/>
      <c r="D648" s="17"/>
      <c r="E648" s="17"/>
      <c r="F648" s="17"/>
      <c r="G648" s="17"/>
    </row>
    <row r="649" spans="2:7" ht="13.2" x14ac:dyDescent="0.25">
      <c r="B649" s="17"/>
      <c r="C649" s="17"/>
      <c r="D649" s="17"/>
      <c r="E649" s="17"/>
      <c r="F649" s="17"/>
      <c r="G649" s="17"/>
    </row>
    <row r="650" spans="2:7" ht="13.2" x14ac:dyDescent="0.25">
      <c r="B650" s="17"/>
      <c r="C650" s="17"/>
      <c r="D650" s="17"/>
      <c r="E650" s="17"/>
      <c r="F650" s="17"/>
      <c r="G650" s="17"/>
    </row>
    <row r="651" spans="2:7" ht="13.2" x14ac:dyDescent="0.25">
      <c r="B651" s="17"/>
      <c r="C651" s="17"/>
      <c r="D651" s="17"/>
      <c r="E651" s="17"/>
      <c r="F651" s="17"/>
      <c r="G651" s="17"/>
    </row>
    <row r="652" spans="2:7" ht="13.2" x14ac:dyDescent="0.25">
      <c r="B652" s="17"/>
      <c r="C652" s="17"/>
      <c r="D652" s="17"/>
      <c r="E652" s="17"/>
      <c r="F652" s="17"/>
      <c r="G652" s="17"/>
    </row>
    <row r="653" spans="2:7" ht="13.2" x14ac:dyDescent="0.25">
      <c r="B653" s="17"/>
      <c r="C653" s="17"/>
      <c r="D653" s="17"/>
      <c r="E653" s="17"/>
      <c r="F653" s="17"/>
      <c r="G653" s="17"/>
    </row>
    <row r="654" spans="2:7" ht="13.2" x14ac:dyDescent="0.25">
      <c r="B654" s="17"/>
      <c r="C654" s="17"/>
      <c r="D654" s="17"/>
      <c r="E654" s="17"/>
      <c r="F654" s="17"/>
      <c r="G654" s="17"/>
    </row>
    <row r="655" spans="2:7" ht="13.2" x14ac:dyDescent="0.25">
      <c r="B655" s="17"/>
      <c r="C655" s="17"/>
      <c r="D655" s="17"/>
      <c r="E655" s="17"/>
      <c r="F655" s="17"/>
      <c r="G655" s="17"/>
    </row>
    <row r="656" spans="2:7" ht="13.2" x14ac:dyDescent="0.25">
      <c r="B656" s="17"/>
      <c r="C656" s="17"/>
      <c r="D656" s="17"/>
      <c r="E656" s="17"/>
      <c r="F656" s="17"/>
      <c r="G656" s="17"/>
    </row>
    <row r="657" spans="2:7" ht="13.2" x14ac:dyDescent="0.25">
      <c r="B657" s="17"/>
      <c r="C657" s="17"/>
      <c r="D657" s="17"/>
      <c r="E657" s="17"/>
      <c r="F657" s="17"/>
      <c r="G657" s="17"/>
    </row>
    <row r="658" spans="2:7" ht="13.2" x14ac:dyDescent="0.25">
      <c r="B658" s="17"/>
      <c r="C658" s="17"/>
      <c r="D658" s="17"/>
      <c r="E658" s="17"/>
      <c r="F658" s="17"/>
      <c r="G658" s="17"/>
    </row>
    <row r="659" spans="2:7" ht="13.2" x14ac:dyDescent="0.25">
      <c r="B659" s="17"/>
      <c r="C659" s="17"/>
      <c r="D659" s="17"/>
      <c r="E659" s="17"/>
      <c r="F659" s="17"/>
      <c r="G659" s="17"/>
    </row>
    <row r="660" spans="2:7" ht="13.2" x14ac:dyDescent="0.25">
      <c r="B660" s="17"/>
      <c r="C660" s="17"/>
      <c r="D660" s="17"/>
      <c r="E660" s="17"/>
      <c r="F660" s="17"/>
      <c r="G660" s="17"/>
    </row>
    <row r="661" spans="2:7" ht="13.2" x14ac:dyDescent="0.25">
      <c r="B661" s="17"/>
      <c r="C661" s="17"/>
      <c r="D661" s="17"/>
      <c r="E661" s="17"/>
      <c r="F661" s="17"/>
      <c r="G661" s="17"/>
    </row>
    <row r="662" spans="2:7" ht="13.2" x14ac:dyDescent="0.25">
      <c r="B662" s="17"/>
      <c r="C662" s="17"/>
      <c r="D662" s="17"/>
      <c r="E662" s="17"/>
      <c r="F662" s="17"/>
      <c r="G662" s="17"/>
    </row>
    <row r="663" spans="2:7" ht="13.2" x14ac:dyDescent="0.25">
      <c r="B663" s="17"/>
      <c r="C663" s="17"/>
      <c r="D663" s="17"/>
      <c r="E663" s="17"/>
      <c r="F663" s="17"/>
      <c r="G663" s="17"/>
    </row>
    <row r="664" spans="2:7" ht="13.2" x14ac:dyDescent="0.25">
      <c r="B664" s="17"/>
      <c r="C664" s="17"/>
      <c r="D664" s="17"/>
      <c r="E664" s="17"/>
      <c r="F664" s="17"/>
      <c r="G664" s="17"/>
    </row>
    <row r="665" spans="2:7" ht="13.2" x14ac:dyDescent="0.25">
      <c r="B665" s="17"/>
      <c r="C665" s="17"/>
      <c r="D665" s="17"/>
      <c r="E665" s="17"/>
      <c r="F665" s="17"/>
      <c r="G665" s="17"/>
    </row>
    <row r="666" spans="2:7" ht="13.2" x14ac:dyDescent="0.25">
      <c r="B666" s="17"/>
      <c r="C666" s="17"/>
      <c r="D666" s="17"/>
      <c r="E666" s="17"/>
      <c r="F666" s="17"/>
      <c r="G666" s="17"/>
    </row>
    <row r="667" spans="2:7" ht="13.2" x14ac:dyDescent="0.25">
      <c r="B667" s="17"/>
      <c r="C667" s="17"/>
      <c r="D667" s="17"/>
      <c r="E667" s="17"/>
      <c r="F667" s="17"/>
      <c r="G667" s="17"/>
    </row>
    <row r="668" spans="2:7" ht="13.2" x14ac:dyDescent="0.25">
      <c r="B668" s="17"/>
      <c r="C668" s="17"/>
      <c r="D668" s="17"/>
      <c r="E668" s="17"/>
      <c r="F668" s="17"/>
      <c r="G668" s="17"/>
    </row>
    <row r="669" spans="2:7" ht="13.2" x14ac:dyDescent="0.25">
      <c r="B669" s="17"/>
      <c r="C669" s="17"/>
      <c r="D669" s="17"/>
      <c r="E669" s="17"/>
      <c r="F669" s="17"/>
      <c r="G669" s="17"/>
    </row>
    <row r="670" spans="2:7" ht="13.2" x14ac:dyDescent="0.25">
      <c r="B670" s="17"/>
      <c r="C670" s="17"/>
      <c r="D670" s="17"/>
      <c r="E670" s="17"/>
      <c r="F670" s="17"/>
      <c r="G670" s="17"/>
    </row>
    <row r="671" spans="2:7" ht="13.2" x14ac:dyDescent="0.25">
      <c r="B671" s="17"/>
      <c r="C671" s="17"/>
      <c r="D671" s="17"/>
      <c r="E671" s="17"/>
      <c r="F671" s="17"/>
      <c r="G671" s="17"/>
    </row>
    <row r="672" spans="2:7" ht="13.2" x14ac:dyDescent="0.25">
      <c r="B672" s="17"/>
      <c r="C672" s="17"/>
      <c r="D672" s="17"/>
      <c r="E672" s="17"/>
      <c r="F672" s="17"/>
      <c r="G672" s="17"/>
    </row>
    <row r="673" spans="2:7" ht="13.2" x14ac:dyDescent="0.25">
      <c r="B673" s="17"/>
      <c r="C673" s="17"/>
      <c r="D673" s="17"/>
      <c r="E673" s="17"/>
      <c r="F673" s="17"/>
      <c r="G673" s="17"/>
    </row>
    <row r="674" spans="2:7" ht="13.2" x14ac:dyDescent="0.25">
      <c r="B674" s="17"/>
      <c r="C674" s="17"/>
      <c r="D674" s="17"/>
      <c r="E674" s="17"/>
      <c r="F674" s="17"/>
      <c r="G674" s="17"/>
    </row>
    <row r="675" spans="2:7" ht="13.2" x14ac:dyDescent="0.25">
      <c r="B675" s="17"/>
      <c r="C675" s="17"/>
      <c r="D675" s="17"/>
      <c r="E675" s="17"/>
      <c r="F675" s="17"/>
      <c r="G675" s="17"/>
    </row>
    <row r="676" spans="2:7" ht="13.2" x14ac:dyDescent="0.25">
      <c r="B676" s="17"/>
      <c r="C676" s="17"/>
      <c r="D676" s="17"/>
      <c r="E676" s="17"/>
      <c r="F676" s="17"/>
      <c r="G676" s="17"/>
    </row>
    <row r="677" spans="2:7" ht="13.2" x14ac:dyDescent="0.25">
      <c r="B677" s="17"/>
      <c r="C677" s="17"/>
      <c r="D677" s="17"/>
      <c r="E677" s="17"/>
      <c r="F677" s="17"/>
      <c r="G677" s="17"/>
    </row>
    <row r="678" spans="2:7" ht="13.2" x14ac:dyDescent="0.25">
      <c r="B678" s="17"/>
      <c r="C678" s="17"/>
      <c r="D678" s="17"/>
      <c r="E678" s="17"/>
      <c r="F678" s="17"/>
      <c r="G678" s="17"/>
    </row>
    <row r="679" spans="2:7" ht="13.2" x14ac:dyDescent="0.25">
      <c r="B679" s="17"/>
      <c r="C679" s="17"/>
      <c r="D679" s="17"/>
      <c r="E679" s="17"/>
      <c r="F679" s="17"/>
      <c r="G679" s="17"/>
    </row>
    <row r="680" spans="2:7" ht="13.2" x14ac:dyDescent="0.25">
      <c r="B680" s="17"/>
      <c r="C680" s="17"/>
      <c r="D680" s="17"/>
      <c r="E680" s="17"/>
      <c r="F680" s="17"/>
      <c r="G680" s="17"/>
    </row>
    <row r="681" spans="2:7" ht="13.2" x14ac:dyDescent="0.25">
      <c r="B681" s="17"/>
      <c r="C681" s="17"/>
      <c r="D681" s="17"/>
      <c r="E681" s="17"/>
      <c r="F681" s="17"/>
      <c r="G681" s="17"/>
    </row>
    <row r="682" spans="2:7" ht="13.2" x14ac:dyDescent="0.25">
      <c r="B682" s="17"/>
      <c r="C682" s="17"/>
      <c r="D682" s="17"/>
      <c r="E682" s="17"/>
      <c r="F682" s="17"/>
      <c r="G682" s="17"/>
    </row>
    <row r="683" spans="2:7" ht="13.2" x14ac:dyDescent="0.25">
      <c r="B683" s="17"/>
      <c r="C683" s="17"/>
      <c r="D683" s="17"/>
      <c r="E683" s="17"/>
      <c r="F683" s="17"/>
      <c r="G683" s="17"/>
    </row>
    <row r="684" spans="2:7" ht="13.2" x14ac:dyDescent="0.25">
      <c r="B684" s="17"/>
      <c r="C684" s="17"/>
      <c r="D684" s="17"/>
      <c r="E684" s="17"/>
      <c r="F684" s="17"/>
      <c r="G684" s="17"/>
    </row>
    <row r="685" spans="2:7" ht="13.2" x14ac:dyDescent="0.25">
      <c r="B685" s="17"/>
      <c r="C685" s="17"/>
      <c r="D685" s="17"/>
      <c r="E685" s="17"/>
      <c r="F685" s="17"/>
      <c r="G685" s="17"/>
    </row>
    <row r="686" spans="2:7" ht="13.2" x14ac:dyDescent="0.25">
      <c r="B686" s="17"/>
      <c r="C686" s="17"/>
      <c r="D686" s="17"/>
      <c r="E686" s="17"/>
      <c r="F686" s="17"/>
      <c r="G686" s="17"/>
    </row>
    <row r="687" spans="2:7" ht="13.2" x14ac:dyDescent="0.25">
      <c r="B687" s="17"/>
      <c r="C687" s="17"/>
      <c r="D687" s="17"/>
      <c r="E687" s="17"/>
      <c r="F687" s="17"/>
      <c r="G687" s="17"/>
    </row>
    <row r="688" spans="2:7" ht="13.2" x14ac:dyDescent="0.25">
      <c r="B688" s="17"/>
      <c r="C688" s="17"/>
      <c r="D688" s="17"/>
      <c r="E688" s="17"/>
      <c r="F688" s="17"/>
      <c r="G688" s="17"/>
    </row>
    <row r="689" spans="2:7" ht="13.2" x14ac:dyDescent="0.25">
      <c r="B689" s="17"/>
      <c r="C689" s="17"/>
      <c r="D689" s="17"/>
      <c r="E689" s="17"/>
      <c r="F689" s="17"/>
      <c r="G689" s="17"/>
    </row>
    <row r="690" spans="2:7" ht="13.2" x14ac:dyDescent="0.25">
      <c r="B690" s="17"/>
      <c r="C690" s="17"/>
      <c r="D690" s="17"/>
      <c r="E690" s="17"/>
      <c r="F690" s="17"/>
      <c r="G690" s="17"/>
    </row>
    <row r="691" spans="2:7" ht="13.2" x14ac:dyDescent="0.25">
      <c r="B691" s="17"/>
      <c r="C691" s="17"/>
      <c r="D691" s="17"/>
      <c r="E691" s="17"/>
      <c r="F691" s="17"/>
      <c r="G691" s="17"/>
    </row>
    <row r="692" spans="2:7" ht="13.2" x14ac:dyDescent="0.25">
      <c r="B692" s="17"/>
      <c r="C692" s="17"/>
      <c r="D692" s="17"/>
      <c r="E692" s="17"/>
      <c r="F692" s="17"/>
      <c r="G692" s="17"/>
    </row>
    <row r="693" spans="2:7" ht="13.2" x14ac:dyDescent="0.25">
      <c r="B693" s="17"/>
      <c r="C693" s="17"/>
      <c r="D693" s="17"/>
      <c r="E693" s="17"/>
      <c r="F693" s="17"/>
      <c r="G693" s="17"/>
    </row>
    <row r="694" spans="2:7" ht="13.2" x14ac:dyDescent="0.25">
      <c r="B694" s="17"/>
      <c r="C694" s="17"/>
      <c r="D694" s="17"/>
      <c r="E694" s="17"/>
      <c r="F694" s="17"/>
      <c r="G694" s="17"/>
    </row>
    <row r="695" spans="2:7" ht="13.2" x14ac:dyDescent="0.25">
      <c r="B695" s="17"/>
      <c r="C695" s="17"/>
      <c r="D695" s="17"/>
      <c r="E695" s="17"/>
      <c r="F695" s="17"/>
      <c r="G695" s="17"/>
    </row>
    <row r="696" spans="2:7" ht="13.2" x14ac:dyDescent="0.25">
      <c r="B696" s="17"/>
      <c r="C696" s="17"/>
      <c r="D696" s="17"/>
      <c r="E696" s="17"/>
      <c r="F696" s="17"/>
      <c r="G696" s="17"/>
    </row>
    <row r="697" spans="2:7" ht="13.2" x14ac:dyDescent="0.25">
      <c r="B697" s="17"/>
      <c r="C697" s="17"/>
      <c r="D697" s="17"/>
      <c r="E697" s="17"/>
      <c r="F697" s="17"/>
      <c r="G697" s="17"/>
    </row>
    <row r="698" spans="2:7" ht="13.2" x14ac:dyDescent="0.25">
      <c r="B698" s="17"/>
      <c r="C698" s="17"/>
      <c r="D698" s="17"/>
      <c r="E698" s="17"/>
      <c r="F698" s="17"/>
      <c r="G698" s="17"/>
    </row>
    <row r="699" spans="2:7" ht="13.2" x14ac:dyDescent="0.25">
      <c r="B699" s="17"/>
      <c r="C699" s="17"/>
      <c r="D699" s="17"/>
      <c r="E699" s="17"/>
      <c r="F699" s="17"/>
      <c r="G699" s="17"/>
    </row>
    <row r="700" spans="2:7" ht="13.2" x14ac:dyDescent="0.25">
      <c r="B700" s="17"/>
      <c r="C700" s="17"/>
      <c r="D700" s="17"/>
      <c r="E700" s="17"/>
      <c r="F700" s="17"/>
      <c r="G700" s="17"/>
    </row>
    <row r="701" spans="2:7" ht="13.2" x14ac:dyDescent="0.25">
      <c r="B701" s="17"/>
      <c r="C701" s="17"/>
      <c r="D701" s="17"/>
      <c r="E701" s="17"/>
      <c r="F701" s="17"/>
      <c r="G701" s="17"/>
    </row>
    <row r="702" spans="2:7" ht="13.2" x14ac:dyDescent="0.25">
      <c r="B702" s="17"/>
      <c r="C702" s="17"/>
      <c r="D702" s="17"/>
      <c r="E702" s="17"/>
      <c r="F702" s="17"/>
      <c r="G702" s="17"/>
    </row>
    <row r="703" spans="2:7" ht="13.2" x14ac:dyDescent="0.25">
      <c r="B703" s="17"/>
      <c r="C703" s="17"/>
      <c r="D703" s="17"/>
      <c r="E703" s="17"/>
      <c r="F703" s="17"/>
      <c r="G703" s="17"/>
    </row>
    <row r="704" spans="2:7" ht="13.2" x14ac:dyDescent="0.25">
      <c r="B704" s="17"/>
      <c r="C704" s="17"/>
      <c r="D704" s="17"/>
      <c r="E704" s="17"/>
      <c r="F704" s="17"/>
      <c r="G704" s="17"/>
    </row>
    <row r="705" spans="2:7" ht="13.2" x14ac:dyDescent="0.25">
      <c r="B705" s="17"/>
      <c r="C705" s="17"/>
      <c r="D705" s="17"/>
      <c r="E705" s="17"/>
      <c r="F705" s="17"/>
      <c r="G705" s="17"/>
    </row>
    <row r="706" spans="2:7" ht="13.2" x14ac:dyDescent="0.25">
      <c r="B706" s="17"/>
      <c r="C706" s="17"/>
      <c r="D706" s="17"/>
      <c r="E706" s="17"/>
      <c r="F706" s="17"/>
      <c r="G706" s="17"/>
    </row>
    <row r="707" spans="2:7" ht="13.2" x14ac:dyDescent="0.25">
      <c r="B707" s="17"/>
      <c r="C707" s="17"/>
      <c r="D707" s="17"/>
      <c r="E707" s="17"/>
      <c r="F707" s="17"/>
      <c r="G707" s="17"/>
    </row>
    <row r="708" spans="2:7" ht="13.2" x14ac:dyDescent="0.25">
      <c r="B708" s="17"/>
      <c r="C708" s="17"/>
      <c r="D708" s="17"/>
      <c r="E708" s="17"/>
      <c r="F708" s="17"/>
      <c r="G708" s="17"/>
    </row>
    <row r="709" spans="2:7" ht="13.2" x14ac:dyDescent="0.25">
      <c r="B709" s="17"/>
      <c r="C709" s="17"/>
      <c r="D709" s="17"/>
      <c r="E709" s="17"/>
      <c r="F709" s="17"/>
      <c r="G709" s="17"/>
    </row>
    <row r="710" spans="2:7" ht="13.2" x14ac:dyDescent="0.25">
      <c r="B710" s="17"/>
      <c r="C710" s="17"/>
      <c r="D710" s="17"/>
      <c r="E710" s="17"/>
      <c r="F710" s="17"/>
      <c r="G710" s="17"/>
    </row>
    <row r="711" spans="2:7" ht="13.2" x14ac:dyDescent="0.25">
      <c r="B711" s="17"/>
      <c r="C711" s="17"/>
      <c r="D711" s="17"/>
      <c r="E711" s="17"/>
      <c r="F711" s="17"/>
      <c r="G711" s="17"/>
    </row>
    <row r="712" spans="2:7" ht="13.2" x14ac:dyDescent="0.25">
      <c r="B712" s="17"/>
      <c r="C712" s="17"/>
      <c r="D712" s="17"/>
      <c r="E712" s="17"/>
      <c r="F712" s="17"/>
      <c r="G712" s="17"/>
    </row>
    <row r="713" spans="2:7" ht="13.2" x14ac:dyDescent="0.25">
      <c r="B713" s="17"/>
      <c r="C713" s="17"/>
      <c r="D713" s="17"/>
      <c r="E713" s="17"/>
      <c r="F713" s="17"/>
      <c r="G713" s="17"/>
    </row>
    <row r="714" spans="2:7" ht="13.2" x14ac:dyDescent="0.25">
      <c r="B714" s="17"/>
      <c r="C714" s="17"/>
      <c r="D714" s="17"/>
      <c r="E714" s="17"/>
      <c r="F714" s="17"/>
      <c r="G714" s="17"/>
    </row>
    <row r="715" spans="2:7" ht="13.2" x14ac:dyDescent="0.25">
      <c r="B715" s="17"/>
      <c r="C715" s="17"/>
      <c r="D715" s="17"/>
      <c r="E715" s="17"/>
      <c r="F715" s="17"/>
      <c r="G715" s="17"/>
    </row>
    <row r="716" spans="2:7" ht="13.2" x14ac:dyDescent="0.25">
      <c r="B716" s="17"/>
      <c r="C716" s="17"/>
      <c r="D716" s="17"/>
      <c r="E716" s="17"/>
      <c r="F716" s="17"/>
      <c r="G716" s="17"/>
    </row>
    <row r="717" spans="2:7" ht="13.2" x14ac:dyDescent="0.25">
      <c r="B717" s="17"/>
      <c r="C717" s="17"/>
      <c r="D717" s="17"/>
      <c r="E717" s="17"/>
      <c r="F717" s="17"/>
      <c r="G717" s="17"/>
    </row>
    <row r="718" spans="2:7" ht="13.2" x14ac:dyDescent="0.25">
      <c r="B718" s="17"/>
      <c r="C718" s="17"/>
      <c r="D718" s="17"/>
      <c r="E718" s="17"/>
      <c r="F718" s="17"/>
      <c r="G718" s="17"/>
    </row>
    <row r="719" spans="2:7" ht="13.2" x14ac:dyDescent="0.25">
      <c r="B719" s="17"/>
      <c r="C719" s="17"/>
      <c r="D719" s="17"/>
      <c r="E719" s="17"/>
      <c r="F719" s="17"/>
      <c r="G719" s="17"/>
    </row>
    <row r="720" spans="2:7" ht="13.2" x14ac:dyDescent="0.25">
      <c r="B720" s="17"/>
      <c r="C720" s="17"/>
      <c r="D720" s="17"/>
      <c r="E720" s="17"/>
      <c r="F720" s="17"/>
      <c r="G720" s="17"/>
    </row>
    <row r="721" spans="2:7" ht="13.2" x14ac:dyDescent="0.25">
      <c r="B721" s="17"/>
      <c r="C721" s="17"/>
      <c r="D721" s="17"/>
      <c r="E721" s="17"/>
      <c r="F721" s="17"/>
      <c r="G721" s="17"/>
    </row>
    <row r="722" spans="2:7" ht="13.2" x14ac:dyDescent="0.25">
      <c r="B722" s="17"/>
      <c r="C722" s="17"/>
      <c r="D722" s="17"/>
      <c r="E722" s="17"/>
      <c r="F722" s="17"/>
      <c r="G722" s="17"/>
    </row>
    <row r="723" spans="2:7" ht="13.2" x14ac:dyDescent="0.25">
      <c r="B723" s="17"/>
      <c r="C723" s="17"/>
      <c r="D723" s="17"/>
      <c r="E723" s="17"/>
      <c r="F723" s="17"/>
      <c r="G723" s="17"/>
    </row>
    <row r="724" spans="2:7" ht="13.2" x14ac:dyDescent="0.25">
      <c r="B724" s="17"/>
      <c r="C724" s="17"/>
      <c r="D724" s="17"/>
      <c r="E724" s="17"/>
      <c r="F724" s="17"/>
      <c r="G724" s="17"/>
    </row>
    <row r="725" spans="2:7" ht="13.2" x14ac:dyDescent="0.25">
      <c r="B725" s="17"/>
      <c r="C725" s="17"/>
      <c r="D725" s="17"/>
      <c r="E725" s="17"/>
      <c r="F725" s="17"/>
      <c r="G725" s="17"/>
    </row>
    <row r="726" spans="2:7" ht="13.2" x14ac:dyDescent="0.25">
      <c r="B726" s="17"/>
      <c r="C726" s="17"/>
      <c r="D726" s="17"/>
      <c r="E726" s="17"/>
      <c r="F726" s="17"/>
      <c r="G726" s="17"/>
    </row>
    <row r="727" spans="2:7" ht="13.2" x14ac:dyDescent="0.25">
      <c r="B727" s="17"/>
      <c r="C727" s="17"/>
      <c r="D727" s="17"/>
      <c r="E727" s="17"/>
      <c r="F727" s="17"/>
      <c r="G727" s="17"/>
    </row>
    <row r="728" spans="2:7" ht="13.2" x14ac:dyDescent="0.25">
      <c r="B728" s="17"/>
      <c r="C728" s="17"/>
      <c r="D728" s="17"/>
      <c r="E728" s="17"/>
      <c r="F728" s="17"/>
      <c r="G728" s="17"/>
    </row>
    <row r="729" spans="2:7" ht="13.2" x14ac:dyDescent="0.25">
      <c r="B729" s="17"/>
      <c r="C729" s="17"/>
      <c r="D729" s="17"/>
      <c r="E729" s="17"/>
      <c r="F729" s="17"/>
      <c r="G729" s="17"/>
    </row>
    <row r="730" spans="2:7" ht="13.2" x14ac:dyDescent="0.25">
      <c r="B730" s="17"/>
      <c r="C730" s="17"/>
      <c r="D730" s="17"/>
      <c r="E730" s="17"/>
      <c r="F730" s="17"/>
      <c r="G730" s="17"/>
    </row>
    <row r="731" spans="2:7" ht="13.2" x14ac:dyDescent="0.25">
      <c r="B731" s="17"/>
      <c r="C731" s="17"/>
      <c r="D731" s="17"/>
      <c r="E731" s="17"/>
      <c r="F731" s="17"/>
      <c r="G731" s="17"/>
    </row>
    <row r="732" spans="2:7" ht="13.2" x14ac:dyDescent="0.25">
      <c r="B732" s="17"/>
      <c r="C732" s="17"/>
      <c r="D732" s="17"/>
      <c r="E732" s="17"/>
      <c r="F732" s="17"/>
      <c r="G732" s="17"/>
    </row>
    <row r="733" spans="2:7" ht="13.2" x14ac:dyDescent="0.25">
      <c r="B733" s="17"/>
      <c r="C733" s="17"/>
      <c r="D733" s="17"/>
      <c r="E733" s="17"/>
      <c r="F733" s="17"/>
      <c r="G733" s="17"/>
    </row>
    <row r="734" spans="2:7" ht="13.2" x14ac:dyDescent="0.25">
      <c r="B734" s="17"/>
      <c r="C734" s="17"/>
      <c r="D734" s="17"/>
      <c r="E734" s="17"/>
      <c r="F734" s="17"/>
      <c r="G734" s="17"/>
    </row>
    <row r="735" spans="2:7" ht="13.2" x14ac:dyDescent="0.25">
      <c r="B735" s="17"/>
      <c r="C735" s="17"/>
      <c r="D735" s="17"/>
      <c r="E735" s="17"/>
      <c r="F735" s="17"/>
      <c r="G735" s="17"/>
    </row>
    <row r="736" spans="2:7" ht="13.2" x14ac:dyDescent="0.25">
      <c r="B736" s="17"/>
      <c r="C736" s="17"/>
      <c r="D736" s="17"/>
      <c r="E736" s="17"/>
      <c r="F736" s="17"/>
      <c r="G736" s="17"/>
    </row>
    <row r="737" spans="2:7" ht="13.2" x14ac:dyDescent="0.25">
      <c r="B737" s="17"/>
      <c r="C737" s="17"/>
      <c r="D737" s="17"/>
      <c r="E737" s="17"/>
      <c r="F737" s="17"/>
      <c r="G737" s="17"/>
    </row>
    <row r="738" spans="2:7" ht="13.2" x14ac:dyDescent="0.25">
      <c r="B738" s="17"/>
      <c r="C738" s="17"/>
      <c r="D738" s="17"/>
      <c r="E738" s="17"/>
      <c r="F738" s="17"/>
      <c r="G738" s="17"/>
    </row>
    <row r="739" spans="2:7" ht="13.2" x14ac:dyDescent="0.25">
      <c r="B739" s="17"/>
      <c r="C739" s="17"/>
      <c r="D739" s="17"/>
      <c r="E739" s="17"/>
      <c r="F739" s="17"/>
      <c r="G739" s="17"/>
    </row>
    <row r="740" spans="2:7" ht="13.2" x14ac:dyDescent="0.25">
      <c r="B740" s="17"/>
      <c r="C740" s="17"/>
      <c r="D740" s="17"/>
      <c r="E740" s="17"/>
      <c r="F740" s="17"/>
      <c r="G740" s="17"/>
    </row>
    <row r="741" spans="2:7" ht="13.2" x14ac:dyDescent="0.25">
      <c r="B741" s="17"/>
      <c r="C741" s="17"/>
      <c r="D741" s="17"/>
      <c r="E741" s="17"/>
      <c r="F741" s="17"/>
      <c r="G741" s="17"/>
    </row>
    <row r="742" spans="2:7" ht="13.2" x14ac:dyDescent="0.25">
      <c r="B742" s="17"/>
      <c r="C742" s="17"/>
      <c r="D742" s="17"/>
      <c r="E742" s="17"/>
      <c r="F742" s="17"/>
      <c r="G742" s="17"/>
    </row>
    <row r="743" spans="2:7" ht="13.2" x14ac:dyDescent="0.25">
      <c r="B743" s="17"/>
      <c r="C743" s="17"/>
      <c r="D743" s="17"/>
      <c r="E743" s="17"/>
      <c r="F743" s="17"/>
      <c r="G743" s="17"/>
    </row>
    <row r="744" spans="2:7" ht="13.2" x14ac:dyDescent="0.25">
      <c r="B744" s="17"/>
      <c r="C744" s="17"/>
      <c r="D744" s="17"/>
      <c r="E744" s="17"/>
      <c r="F744" s="17"/>
      <c r="G744" s="17"/>
    </row>
    <row r="745" spans="2:7" ht="13.2" x14ac:dyDescent="0.25">
      <c r="B745" s="17"/>
      <c r="C745" s="17"/>
      <c r="D745" s="17"/>
      <c r="E745" s="17"/>
      <c r="F745" s="17"/>
      <c r="G745" s="17"/>
    </row>
    <row r="746" spans="2:7" ht="13.2" x14ac:dyDescent="0.25">
      <c r="B746" s="17"/>
      <c r="C746" s="17"/>
      <c r="D746" s="17"/>
      <c r="E746" s="17"/>
      <c r="F746" s="17"/>
      <c r="G746" s="17"/>
    </row>
    <row r="747" spans="2:7" ht="13.2" x14ac:dyDescent="0.25">
      <c r="B747" s="17"/>
      <c r="C747" s="17"/>
      <c r="D747" s="17"/>
      <c r="E747" s="17"/>
      <c r="F747" s="17"/>
      <c r="G747" s="17"/>
    </row>
    <row r="748" spans="2:7" ht="13.2" x14ac:dyDescent="0.25">
      <c r="B748" s="17"/>
      <c r="C748" s="17"/>
      <c r="D748" s="17"/>
      <c r="E748" s="17"/>
      <c r="F748" s="17"/>
      <c r="G748" s="17"/>
    </row>
    <row r="749" spans="2:7" ht="13.2" x14ac:dyDescent="0.25">
      <c r="B749" s="17"/>
      <c r="C749" s="17"/>
      <c r="D749" s="17"/>
      <c r="E749" s="17"/>
      <c r="F749" s="17"/>
      <c r="G749" s="17"/>
    </row>
    <row r="750" spans="2:7" ht="13.2" x14ac:dyDescent="0.25">
      <c r="B750" s="17"/>
      <c r="C750" s="17"/>
      <c r="D750" s="17"/>
      <c r="E750" s="17"/>
      <c r="F750" s="17"/>
      <c r="G750" s="17"/>
    </row>
    <row r="751" spans="2:7" ht="13.2" x14ac:dyDescent="0.25">
      <c r="B751" s="17"/>
      <c r="C751" s="17"/>
      <c r="D751" s="17"/>
      <c r="E751" s="17"/>
      <c r="F751" s="17"/>
      <c r="G751" s="17"/>
    </row>
    <row r="752" spans="2:7" ht="13.2" x14ac:dyDescent="0.25">
      <c r="B752" s="17"/>
      <c r="C752" s="17"/>
      <c r="D752" s="17"/>
      <c r="E752" s="17"/>
      <c r="F752" s="17"/>
      <c r="G752" s="17"/>
    </row>
    <row r="753" spans="2:7" ht="13.2" x14ac:dyDescent="0.25">
      <c r="B753" s="17"/>
      <c r="C753" s="17"/>
      <c r="D753" s="17"/>
      <c r="E753" s="17"/>
      <c r="F753" s="17"/>
      <c r="G753" s="17"/>
    </row>
    <row r="754" spans="2:7" ht="13.2" x14ac:dyDescent="0.25">
      <c r="B754" s="17"/>
      <c r="C754" s="17"/>
      <c r="D754" s="17"/>
      <c r="E754" s="17"/>
      <c r="F754" s="17"/>
      <c r="G754" s="17"/>
    </row>
    <row r="755" spans="2:7" ht="13.2" x14ac:dyDescent="0.25">
      <c r="B755" s="17"/>
      <c r="C755" s="17"/>
      <c r="D755" s="17"/>
      <c r="E755" s="17"/>
      <c r="F755" s="17"/>
      <c r="G755" s="17"/>
    </row>
    <row r="756" spans="2:7" ht="13.2" x14ac:dyDescent="0.25">
      <c r="B756" s="17"/>
      <c r="C756" s="17"/>
      <c r="D756" s="17"/>
      <c r="E756" s="17"/>
      <c r="F756" s="17"/>
      <c r="G756" s="17"/>
    </row>
    <row r="757" spans="2:7" ht="13.2" x14ac:dyDescent="0.25">
      <c r="B757" s="17"/>
      <c r="C757" s="17"/>
      <c r="D757" s="17"/>
      <c r="E757" s="17"/>
      <c r="F757" s="17"/>
      <c r="G757" s="17"/>
    </row>
    <row r="758" spans="2:7" ht="13.2" x14ac:dyDescent="0.25">
      <c r="B758" s="17"/>
      <c r="C758" s="17"/>
      <c r="D758" s="17"/>
      <c r="E758" s="17"/>
      <c r="F758" s="17"/>
      <c r="G758" s="17"/>
    </row>
    <row r="759" spans="2:7" ht="13.2" x14ac:dyDescent="0.25">
      <c r="B759" s="17"/>
      <c r="C759" s="17"/>
      <c r="D759" s="17"/>
      <c r="E759" s="17"/>
      <c r="F759" s="17"/>
      <c r="G759" s="17"/>
    </row>
    <row r="760" spans="2:7" ht="13.2" x14ac:dyDescent="0.25">
      <c r="B760" s="17"/>
      <c r="C760" s="17"/>
      <c r="D760" s="17"/>
      <c r="E760" s="17"/>
      <c r="F760" s="17"/>
      <c r="G760" s="17"/>
    </row>
    <row r="761" spans="2:7" ht="13.2" x14ac:dyDescent="0.25">
      <c r="B761" s="17"/>
      <c r="C761" s="17"/>
      <c r="D761" s="17"/>
      <c r="E761" s="17"/>
      <c r="F761" s="17"/>
      <c r="G761" s="17"/>
    </row>
    <row r="762" spans="2:7" ht="13.2" x14ac:dyDescent="0.25">
      <c r="B762" s="17"/>
      <c r="C762" s="17"/>
      <c r="D762" s="17"/>
      <c r="E762" s="17"/>
      <c r="F762" s="17"/>
      <c r="G762" s="17"/>
    </row>
    <row r="763" spans="2:7" ht="13.2" x14ac:dyDescent="0.25">
      <c r="B763" s="17"/>
      <c r="C763" s="17"/>
      <c r="D763" s="17"/>
      <c r="E763" s="17"/>
      <c r="F763" s="17"/>
      <c r="G763" s="17"/>
    </row>
    <row r="764" spans="2:7" ht="13.2" x14ac:dyDescent="0.25">
      <c r="B764" s="17"/>
      <c r="C764" s="17"/>
      <c r="D764" s="17"/>
      <c r="E764" s="17"/>
      <c r="F764" s="17"/>
      <c r="G764" s="17"/>
    </row>
    <row r="765" spans="2:7" ht="13.2" x14ac:dyDescent="0.25">
      <c r="B765" s="17"/>
      <c r="C765" s="17"/>
      <c r="D765" s="17"/>
      <c r="E765" s="17"/>
      <c r="F765" s="17"/>
      <c r="G765" s="17"/>
    </row>
    <row r="766" spans="2:7" ht="13.2" x14ac:dyDescent="0.25">
      <c r="B766" s="17"/>
      <c r="C766" s="17"/>
      <c r="D766" s="17"/>
      <c r="E766" s="17"/>
      <c r="F766" s="17"/>
      <c r="G766" s="17"/>
    </row>
    <row r="767" spans="2:7" ht="13.2" x14ac:dyDescent="0.25">
      <c r="B767" s="17"/>
      <c r="C767" s="17"/>
      <c r="D767" s="17"/>
      <c r="E767" s="17"/>
      <c r="F767" s="17"/>
      <c r="G767" s="17"/>
    </row>
    <row r="768" spans="2:7" ht="13.2" x14ac:dyDescent="0.25">
      <c r="B768" s="17"/>
      <c r="C768" s="17"/>
      <c r="D768" s="17"/>
      <c r="E768" s="17"/>
      <c r="F768" s="17"/>
      <c r="G768" s="17"/>
    </row>
    <row r="769" spans="2:7" ht="13.2" x14ac:dyDescent="0.25">
      <c r="B769" s="17"/>
      <c r="C769" s="17"/>
      <c r="D769" s="17"/>
      <c r="E769" s="17"/>
      <c r="F769" s="17"/>
      <c r="G769" s="17"/>
    </row>
    <row r="770" spans="2:7" ht="13.2" x14ac:dyDescent="0.25">
      <c r="B770" s="17"/>
      <c r="C770" s="17"/>
      <c r="D770" s="17"/>
      <c r="E770" s="17"/>
      <c r="F770" s="17"/>
      <c r="G770" s="17"/>
    </row>
    <row r="771" spans="2:7" ht="13.2" x14ac:dyDescent="0.25">
      <c r="B771" s="17"/>
      <c r="C771" s="17"/>
      <c r="D771" s="17"/>
      <c r="E771" s="17"/>
      <c r="F771" s="17"/>
      <c r="G771" s="17"/>
    </row>
    <row r="772" spans="2:7" ht="13.2" x14ac:dyDescent="0.25">
      <c r="B772" s="17"/>
      <c r="C772" s="17"/>
      <c r="D772" s="17"/>
      <c r="E772" s="17"/>
      <c r="F772" s="17"/>
      <c r="G772" s="17"/>
    </row>
    <row r="773" spans="2:7" ht="13.2" x14ac:dyDescent="0.25">
      <c r="B773" s="17"/>
      <c r="C773" s="17"/>
      <c r="D773" s="17"/>
      <c r="E773" s="17"/>
      <c r="F773" s="17"/>
      <c r="G773" s="17"/>
    </row>
    <row r="774" spans="2:7" ht="13.2" x14ac:dyDescent="0.25">
      <c r="B774" s="17"/>
      <c r="C774" s="17"/>
      <c r="D774" s="17"/>
      <c r="E774" s="17"/>
      <c r="F774" s="17"/>
      <c r="G774" s="17"/>
    </row>
    <row r="775" spans="2:7" ht="13.2" x14ac:dyDescent="0.25">
      <c r="B775" s="17"/>
      <c r="C775" s="17"/>
      <c r="D775" s="17"/>
      <c r="E775" s="17"/>
      <c r="F775" s="17"/>
      <c r="G775" s="17"/>
    </row>
    <row r="776" spans="2:7" ht="13.2" x14ac:dyDescent="0.25">
      <c r="B776" s="17"/>
      <c r="C776" s="17"/>
      <c r="D776" s="17"/>
      <c r="E776" s="17"/>
      <c r="F776" s="17"/>
      <c r="G776" s="17"/>
    </row>
    <row r="777" spans="2:7" ht="13.2" x14ac:dyDescent="0.25">
      <c r="B777" s="17"/>
      <c r="C777" s="17"/>
      <c r="D777" s="17"/>
      <c r="E777" s="17"/>
      <c r="F777" s="17"/>
      <c r="G777" s="17"/>
    </row>
    <row r="778" spans="2:7" ht="13.2" x14ac:dyDescent="0.25">
      <c r="B778" s="17"/>
      <c r="C778" s="17"/>
      <c r="D778" s="17"/>
      <c r="E778" s="17"/>
      <c r="F778" s="17"/>
      <c r="G778" s="17"/>
    </row>
    <row r="779" spans="2:7" ht="13.2" x14ac:dyDescent="0.25">
      <c r="B779" s="17"/>
      <c r="C779" s="17"/>
      <c r="D779" s="17"/>
      <c r="E779" s="17"/>
      <c r="F779" s="17"/>
      <c r="G779" s="17"/>
    </row>
    <row r="780" spans="2:7" ht="13.2" x14ac:dyDescent="0.25">
      <c r="B780" s="17"/>
      <c r="C780" s="17"/>
      <c r="D780" s="17"/>
      <c r="E780" s="17"/>
      <c r="F780" s="17"/>
      <c r="G780" s="17"/>
    </row>
    <row r="781" spans="2:7" ht="13.2" x14ac:dyDescent="0.25">
      <c r="B781" s="17"/>
      <c r="C781" s="17"/>
      <c r="D781" s="17"/>
      <c r="E781" s="17"/>
      <c r="F781" s="17"/>
      <c r="G781" s="17"/>
    </row>
    <row r="782" spans="2:7" ht="13.2" x14ac:dyDescent="0.25">
      <c r="B782" s="17"/>
      <c r="C782" s="17"/>
      <c r="D782" s="17"/>
      <c r="E782" s="17"/>
      <c r="F782" s="17"/>
      <c r="G782" s="17"/>
    </row>
    <row r="783" spans="2:7" ht="13.2" x14ac:dyDescent="0.25">
      <c r="B783" s="17"/>
      <c r="C783" s="17"/>
      <c r="D783" s="17"/>
      <c r="E783" s="17"/>
      <c r="F783" s="17"/>
      <c r="G783" s="17"/>
    </row>
    <row r="784" spans="2:7" ht="13.2" x14ac:dyDescent="0.25">
      <c r="B784" s="17"/>
      <c r="C784" s="17"/>
      <c r="D784" s="17"/>
      <c r="E784" s="17"/>
      <c r="F784" s="17"/>
      <c r="G784" s="17"/>
    </row>
    <row r="785" spans="2:7" ht="13.2" x14ac:dyDescent="0.25">
      <c r="B785" s="17"/>
      <c r="C785" s="17"/>
      <c r="D785" s="17"/>
      <c r="E785" s="17"/>
      <c r="F785" s="17"/>
      <c r="G785" s="17"/>
    </row>
    <row r="786" spans="2:7" ht="13.2" x14ac:dyDescent="0.25">
      <c r="B786" s="17"/>
      <c r="C786" s="17"/>
      <c r="D786" s="17"/>
      <c r="E786" s="17"/>
      <c r="F786" s="17"/>
      <c r="G786" s="17"/>
    </row>
    <row r="787" spans="2:7" ht="13.2" x14ac:dyDescent="0.25">
      <c r="B787" s="17"/>
      <c r="C787" s="17"/>
      <c r="D787" s="17"/>
      <c r="E787" s="17"/>
      <c r="F787" s="17"/>
      <c r="G787" s="17"/>
    </row>
    <row r="788" spans="2:7" ht="13.2" x14ac:dyDescent="0.25">
      <c r="B788" s="17"/>
      <c r="C788" s="17"/>
      <c r="D788" s="17"/>
      <c r="E788" s="17"/>
      <c r="F788" s="17"/>
      <c r="G788" s="17"/>
    </row>
    <row r="789" spans="2:7" ht="13.2" x14ac:dyDescent="0.25">
      <c r="B789" s="17"/>
      <c r="C789" s="17"/>
      <c r="D789" s="17"/>
      <c r="E789" s="17"/>
      <c r="F789" s="17"/>
      <c r="G789" s="17"/>
    </row>
    <row r="790" spans="2:7" ht="13.2" x14ac:dyDescent="0.25">
      <c r="B790" s="17"/>
      <c r="C790" s="17"/>
      <c r="D790" s="17"/>
      <c r="E790" s="17"/>
      <c r="F790" s="17"/>
      <c r="G790" s="17"/>
    </row>
    <row r="791" spans="2:7" ht="13.2" x14ac:dyDescent="0.25">
      <c r="B791" s="17"/>
      <c r="C791" s="17"/>
      <c r="D791" s="17"/>
      <c r="E791" s="17"/>
      <c r="F791" s="17"/>
      <c r="G791" s="17"/>
    </row>
    <row r="792" spans="2:7" ht="13.2" x14ac:dyDescent="0.25">
      <c r="B792" s="17"/>
      <c r="C792" s="17"/>
      <c r="D792" s="17"/>
      <c r="E792" s="17"/>
      <c r="F792" s="17"/>
      <c r="G792" s="17"/>
    </row>
    <row r="793" spans="2:7" ht="13.2" x14ac:dyDescent="0.25">
      <c r="B793" s="17"/>
      <c r="C793" s="17"/>
      <c r="D793" s="17"/>
      <c r="E793" s="17"/>
      <c r="F793" s="17"/>
      <c r="G793" s="17"/>
    </row>
    <row r="794" spans="2:7" ht="13.2" x14ac:dyDescent="0.25">
      <c r="B794" s="17"/>
      <c r="C794" s="17"/>
      <c r="D794" s="17"/>
      <c r="E794" s="17"/>
      <c r="F794" s="17"/>
      <c r="G794" s="17"/>
    </row>
    <row r="795" spans="2:7" ht="13.2" x14ac:dyDescent="0.25">
      <c r="B795" s="17"/>
      <c r="C795" s="17"/>
      <c r="D795" s="17"/>
      <c r="E795" s="17"/>
      <c r="F795" s="17"/>
      <c r="G795" s="17"/>
    </row>
    <row r="796" spans="2:7" ht="13.2" x14ac:dyDescent="0.25">
      <c r="B796" s="17"/>
      <c r="C796" s="17"/>
      <c r="D796" s="17"/>
      <c r="E796" s="17"/>
      <c r="F796" s="17"/>
      <c r="G796" s="17"/>
    </row>
    <row r="797" spans="2:7" ht="13.2" x14ac:dyDescent="0.25">
      <c r="B797" s="17"/>
      <c r="C797" s="17"/>
      <c r="D797" s="17"/>
      <c r="E797" s="17"/>
      <c r="F797" s="17"/>
      <c r="G797" s="17"/>
    </row>
    <row r="798" spans="2:7" ht="13.2" x14ac:dyDescent="0.25">
      <c r="B798" s="17"/>
      <c r="C798" s="17"/>
      <c r="D798" s="17"/>
      <c r="E798" s="17"/>
      <c r="F798" s="17"/>
      <c r="G798" s="17"/>
    </row>
    <row r="799" spans="2:7" ht="13.2" x14ac:dyDescent="0.25">
      <c r="B799" s="17"/>
      <c r="C799" s="17"/>
      <c r="D799" s="17"/>
      <c r="E799" s="17"/>
      <c r="F799" s="17"/>
      <c r="G799" s="17"/>
    </row>
    <row r="800" spans="2:7" ht="13.2" x14ac:dyDescent="0.25">
      <c r="B800" s="17"/>
      <c r="C800" s="17"/>
      <c r="D800" s="17"/>
      <c r="E800" s="17"/>
      <c r="F800" s="17"/>
      <c r="G800" s="17"/>
    </row>
    <row r="801" spans="2:7" ht="13.2" x14ac:dyDescent="0.25">
      <c r="B801" s="17"/>
      <c r="C801" s="17"/>
      <c r="D801" s="17"/>
      <c r="E801" s="17"/>
      <c r="F801" s="17"/>
      <c r="G801" s="17"/>
    </row>
    <row r="802" spans="2:7" ht="13.2" x14ac:dyDescent="0.25">
      <c r="B802" s="17"/>
      <c r="C802" s="17"/>
      <c r="D802" s="17"/>
      <c r="E802" s="17"/>
      <c r="F802" s="17"/>
      <c r="G802" s="17"/>
    </row>
    <row r="803" spans="2:7" ht="13.2" x14ac:dyDescent="0.25">
      <c r="B803" s="17"/>
      <c r="C803" s="17"/>
      <c r="D803" s="17"/>
      <c r="E803" s="17"/>
      <c r="F803" s="17"/>
      <c r="G803" s="17"/>
    </row>
    <row r="804" spans="2:7" ht="13.2" x14ac:dyDescent="0.25">
      <c r="B804" s="17"/>
      <c r="C804" s="17"/>
      <c r="D804" s="17"/>
      <c r="E804" s="17"/>
      <c r="F804" s="17"/>
      <c r="G804" s="17"/>
    </row>
    <row r="805" spans="2:7" ht="13.2" x14ac:dyDescent="0.25">
      <c r="B805" s="17"/>
      <c r="C805" s="17"/>
      <c r="D805" s="17"/>
      <c r="E805" s="17"/>
      <c r="F805" s="17"/>
      <c r="G805" s="17"/>
    </row>
    <row r="806" spans="2:7" ht="13.2" x14ac:dyDescent="0.25">
      <c r="B806" s="17"/>
      <c r="C806" s="17"/>
      <c r="D806" s="17"/>
      <c r="E806" s="17"/>
      <c r="F806" s="17"/>
      <c r="G806" s="17"/>
    </row>
    <row r="807" spans="2:7" ht="13.2" x14ac:dyDescent="0.25">
      <c r="B807" s="17"/>
      <c r="C807" s="17"/>
      <c r="D807" s="17"/>
      <c r="E807" s="17"/>
      <c r="F807" s="17"/>
      <c r="G807" s="17"/>
    </row>
    <row r="808" spans="2:7" ht="13.2" x14ac:dyDescent="0.25">
      <c r="B808" s="17"/>
      <c r="C808" s="17"/>
      <c r="D808" s="17"/>
      <c r="E808" s="17"/>
      <c r="F808" s="17"/>
      <c r="G808" s="17"/>
    </row>
    <row r="809" spans="2:7" ht="13.2" x14ac:dyDescent="0.25">
      <c r="B809" s="17"/>
      <c r="C809" s="17"/>
      <c r="D809" s="17"/>
      <c r="E809" s="17"/>
      <c r="F809" s="17"/>
      <c r="G809" s="17"/>
    </row>
    <row r="810" spans="2:7" ht="13.2" x14ac:dyDescent="0.25">
      <c r="B810" s="17"/>
      <c r="C810" s="17"/>
      <c r="D810" s="17"/>
      <c r="E810" s="17"/>
      <c r="F810" s="17"/>
      <c r="G810" s="17"/>
    </row>
    <row r="811" spans="2:7" ht="13.2" x14ac:dyDescent="0.25">
      <c r="B811" s="17"/>
      <c r="C811" s="17"/>
      <c r="D811" s="17"/>
      <c r="E811" s="17"/>
      <c r="F811" s="17"/>
      <c r="G811" s="17"/>
    </row>
    <row r="812" spans="2:7" ht="13.2" x14ac:dyDescent="0.25">
      <c r="B812" s="17"/>
      <c r="C812" s="17"/>
      <c r="D812" s="17"/>
      <c r="E812" s="17"/>
      <c r="F812" s="17"/>
      <c r="G812" s="17"/>
    </row>
    <row r="813" spans="2:7" ht="13.2" x14ac:dyDescent="0.25">
      <c r="B813" s="17"/>
      <c r="C813" s="17"/>
      <c r="D813" s="17"/>
      <c r="E813" s="17"/>
      <c r="F813" s="17"/>
      <c r="G813" s="17"/>
    </row>
    <row r="814" spans="2:7" ht="13.2" x14ac:dyDescent="0.25">
      <c r="B814" s="17"/>
      <c r="C814" s="17"/>
      <c r="D814" s="17"/>
      <c r="E814" s="17"/>
      <c r="F814" s="17"/>
      <c r="G814" s="17"/>
    </row>
    <row r="815" spans="2:7" ht="13.2" x14ac:dyDescent="0.25">
      <c r="B815" s="17"/>
      <c r="C815" s="17"/>
      <c r="D815" s="17"/>
      <c r="E815" s="17"/>
      <c r="F815" s="17"/>
      <c r="G815" s="17"/>
    </row>
    <row r="816" spans="2:7" ht="13.2" x14ac:dyDescent="0.25">
      <c r="B816" s="17"/>
      <c r="C816" s="17"/>
      <c r="D816" s="17"/>
      <c r="E816" s="17"/>
      <c r="F816" s="17"/>
      <c r="G816" s="17"/>
    </row>
    <row r="817" spans="2:7" ht="13.2" x14ac:dyDescent="0.25">
      <c r="B817" s="17"/>
      <c r="C817" s="17"/>
      <c r="D817" s="17"/>
      <c r="E817" s="17"/>
      <c r="F817" s="17"/>
      <c r="G817" s="17"/>
    </row>
    <row r="818" spans="2:7" ht="13.2" x14ac:dyDescent="0.25">
      <c r="B818" s="17"/>
      <c r="C818" s="17"/>
      <c r="D818" s="17"/>
      <c r="E818" s="17"/>
      <c r="F818" s="17"/>
      <c r="G818" s="17"/>
    </row>
    <row r="819" spans="2:7" ht="13.2" x14ac:dyDescent="0.25">
      <c r="B819" s="17"/>
      <c r="C819" s="17"/>
      <c r="D819" s="17"/>
      <c r="E819" s="17"/>
      <c r="F819" s="17"/>
      <c r="G819" s="17"/>
    </row>
    <row r="820" spans="2:7" ht="13.2" x14ac:dyDescent="0.25">
      <c r="B820" s="17"/>
      <c r="C820" s="17"/>
      <c r="D820" s="17"/>
      <c r="E820" s="17"/>
      <c r="F820" s="17"/>
      <c r="G820" s="17"/>
    </row>
    <row r="821" spans="2:7" ht="13.2" x14ac:dyDescent="0.25">
      <c r="B821" s="17"/>
      <c r="C821" s="17"/>
      <c r="D821" s="17"/>
      <c r="E821" s="17"/>
      <c r="F821" s="17"/>
      <c r="G821" s="17"/>
    </row>
    <row r="822" spans="2:7" ht="13.2" x14ac:dyDescent="0.25">
      <c r="B822" s="17"/>
      <c r="C822" s="17"/>
      <c r="D822" s="17"/>
      <c r="E822" s="17"/>
      <c r="F822" s="17"/>
      <c r="G822" s="17"/>
    </row>
    <row r="823" spans="2:7" ht="13.2" x14ac:dyDescent="0.25">
      <c r="B823" s="17"/>
      <c r="C823" s="17"/>
      <c r="D823" s="17"/>
      <c r="E823" s="17"/>
      <c r="F823" s="17"/>
      <c r="G823" s="17"/>
    </row>
    <row r="824" spans="2:7" ht="13.2" x14ac:dyDescent="0.25">
      <c r="B824" s="17"/>
      <c r="C824" s="17"/>
      <c r="D824" s="17"/>
      <c r="E824" s="17"/>
      <c r="F824" s="17"/>
      <c r="G824" s="17"/>
    </row>
    <row r="825" spans="2:7" ht="13.2" x14ac:dyDescent="0.25">
      <c r="B825" s="17"/>
      <c r="C825" s="17"/>
      <c r="D825" s="17"/>
      <c r="E825" s="17"/>
      <c r="F825" s="17"/>
      <c r="G825" s="17"/>
    </row>
    <row r="826" spans="2:7" ht="13.2" x14ac:dyDescent="0.25">
      <c r="B826" s="17"/>
      <c r="C826" s="17"/>
      <c r="D826" s="17"/>
      <c r="E826" s="17"/>
      <c r="F826" s="17"/>
      <c r="G826" s="17"/>
    </row>
    <row r="827" spans="2:7" ht="13.2" x14ac:dyDescent="0.25">
      <c r="B827" s="17"/>
      <c r="C827" s="17"/>
      <c r="D827" s="17"/>
      <c r="E827" s="17"/>
      <c r="F827" s="17"/>
      <c r="G827" s="17"/>
    </row>
    <row r="828" spans="2:7" ht="13.2" x14ac:dyDescent="0.25">
      <c r="B828" s="17"/>
      <c r="C828" s="17"/>
      <c r="D828" s="17"/>
      <c r="E828" s="17"/>
      <c r="F828" s="17"/>
      <c r="G828" s="17"/>
    </row>
    <row r="829" spans="2:7" ht="13.2" x14ac:dyDescent="0.25">
      <c r="B829" s="17"/>
      <c r="C829" s="17"/>
      <c r="D829" s="17"/>
      <c r="E829" s="17"/>
      <c r="F829" s="17"/>
      <c r="G829" s="17"/>
    </row>
    <row r="830" spans="2:7" ht="13.2" x14ac:dyDescent="0.25">
      <c r="B830" s="17"/>
      <c r="C830" s="17"/>
      <c r="D830" s="17"/>
      <c r="E830" s="17"/>
      <c r="F830" s="17"/>
      <c r="G830" s="17"/>
    </row>
    <row r="831" spans="2:7" ht="13.2" x14ac:dyDescent="0.25">
      <c r="B831" s="17"/>
      <c r="C831" s="17"/>
      <c r="D831" s="17"/>
      <c r="E831" s="17"/>
      <c r="F831" s="17"/>
      <c r="G831" s="17"/>
    </row>
    <row r="832" spans="2:7" ht="13.2" x14ac:dyDescent="0.25">
      <c r="B832" s="17"/>
      <c r="C832" s="17"/>
      <c r="D832" s="17"/>
      <c r="E832" s="17"/>
      <c r="F832" s="17"/>
      <c r="G832" s="17"/>
    </row>
    <row r="833" spans="2:7" ht="13.2" x14ac:dyDescent="0.25">
      <c r="B833" s="17"/>
      <c r="C833" s="17"/>
      <c r="D833" s="17"/>
      <c r="E833" s="17"/>
      <c r="F833" s="17"/>
      <c r="G833" s="17"/>
    </row>
    <row r="834" spans="2:7" ht="13.2" x14ac:dyDescent="0.25">
      <c r="B834" s="17"/>
      <c r="C834" s="17"/>
      <c r="D834" s="17"/>
      <c r="E834" s="17"/>
      <c r="F834" s="17"/>
      <c r="G834" s="17"/>
    </row>
    <row r="835" spans="2:7" ht="13.2" x14ac:dyDescent="0.25">
      <c r="B835" s="17"/>
      <c r="C835" s="17"/>
      <c r="D835" s="17"/>
      <c r="E835" s="17"/>
      <c r="F835" s="17"/>
      <c r="G835" s="17"/>
    </row>
    <row r="836" spans="2:7" ht="13.2" x14ac:dyDescent="0.25">
      <c r="B836" s="17"/>
      <c r="C836" s="17"/>
      <c r="D836" s="17"/>
      <c r="E836" s="17"/>
      <c r="F836" s="17"/>
      <c r="G836" s="17"/>
    </row>
    <row r="837" spans="2:7" ht="13.2" x14ac:dyDescent="0.25">
      <c r="B837" s="17"/>
      <c r="C837" s="17"/>
      <c r="D837" s="17"/>
      <c r="E837" s="17"/>
      <c r="F837" s="17"/>
      <c r="G837" s="17"/>
    </row>
    <row r="838" spans="2:7" ht="13.2" x14ac:dyDescent="0.25">
      <c r="B838" s="17"/>
      <c r="C838" s="17"/>
      <c r="D838" s="17"/>
      <c r="E838" s="17"/>
      <c r="F838" s="17"/>
      <c r="G838" s="17"/>
    </row>
    <row r="839" spans="2:7" ht="13.2" x14ac:dyDescent="0.25">
      <c r="B839" s="17"/>
      <c r="C839" s="17"/>
      <c r="D839" s="17"/>
      <c r="E839" s="17"/>
      <c r="F839" s="17"/>
      <c r="G839" s="17"/>
    </row>
    <row r="840" spans="2:7" ht="13.2" x14ac:dyDescent="0.25">
      <c r="B840" s="17"/>
      <c r="C840" s="17"/>
      <c r="D840" s="17"/>
      <c r="E840" s="17"/>
      <c r="F840" s="17"/>
      <c r="G840" s="17"/>
    </row>
    <row r="841" spans="2:7" ht="13.2" x14ac:dyDescent="0.25">
      <c r="B841" s="17"/>
      <c r="C841" s="17"/>
      <c r="D841" s="17"/>
      <c r="E841" s="17"/>
      <c r="F841" s="17"/>
      <c r="G841" s="17"/>
    </row>
    <row r="842" spans="2:7" ht="13.2" x14ac:dyDescent="0.25">
      <c r="B842" s="17"/>
      <c r="C842" s="17"/>
      <c r="D842" s="17"/>
      <c r="E842" s="17"/>
      <c r="F842" s="17"/>
      <c r="G842" s="17"/>
    </row>
    <row r="843" spans="2:7" ht="13.2" x14ac:dyDescent="0.25">
      <c r="B843" s="17"/>
      <c r="C843" s="17"/>
      <c r="D843" s="17"/>
      <c r="E843" s="17"/>
      <c r="F843" s="17"/>
      <c r="G843" s="17"/>
    </row>
    <row r="844" spans="2:7" ht="13.2" x14ac:dyDescent="0.25">
      <c r="B844" s="17"/>
      <c r="C844" s="17"/>
      <c r="D844" s="17"/>
      <c r="E844" s="17"/>
      <c r="F844" s="17"/>
      <c r="G844" s="17"/>
    </row>
    <row r="845" spans="2:7" ht="13.2" x14ac:dyDescent="0.25">
      <c r="B845" s="17"/>
      <c r="C845" s="17"/>
      <c r="D845" s="17"/>
      <c r="E845" s="17"/>
      <c r="F845" s="17"/>
      <c r="G845" s="17"/>
    </row>
    <row r="846" spans="2:7" ht="13.2" x14ac:dyDescent="0.25">
      <c r="B846" s="17"/>
      <c r="C846" s="17"/>
      <c r="D846" s="17"/>
      <c r="E846" s="17"/>
      <c r="F846" s="17"/>
      <c r="G846" s="17"/>
    </row>
    <row r="847" spans="2:7" ht="13.2" x14ac:dyDescent="0.25">
      <c r="B847" s="17"/>
      <c r="C847" s="17"/>
      <c r="D847" s="17"/>
      <c r="E847" s="17"/>
      <c r="F847" s="17"/>
      <c r="G847" s="17"/>
    </row>
    <row r="848" spans="2:7" ht="13.2" x14ac:dyDescent="0.25">
      <c r="B848" s="17"/>
      <c r="C848" s="17"/>
      <c r="D848" s="17"/>
      <c r="E848" s="17"/>
      <c r="F848" s="17"/>
      <c r="G848" s="17"/>
    </row>
    <row r="849" spans="2:7" ht="13.2" x14ac:dyDescent="0.25">
      <c r="B849" s="17"/>
      <c r="C849" s="17"/>
      <c r="D849" s="17"/>
      <c r="E849" s="17"/>
      <c r="F849" s="17"/>
      <c r="G849" s="17"/>
    </row>
    <row r="850" spans="2:7" ht="13.2" x14ac:dyDescent="0.25">
      <c r="B850" s="17"/>
      <c r="C850" s="17"/>
      <c r="D850" s="17"/>
      <c r="E850" s="17"/>
      <c r="F850" s="17"/>
      <c r="G850" s="17"/>
    </row>
    <row r="851" spans="2:7" ht="13.2" x14ac:dyDescent="0.25">
      <c r="B851" s="17"/>
      <c r="C851" s="17"/>
      <c r="D851" s="17"/>
      <c r="E851" s="17"/>
      <c r="F851" s="17"/>
      <c r="G851" s="17"/>
    </row>
    <row r="852" spans="2:7" ht="13.2" x14ac:dyDescent="0.25">
      <c r="B852" s="17"/>
      <c r="C852" s="17"/>
      <c r="D852" s="17"/>
      <c r="E852" s="17"/>
      <c r="F852" s="17"/>
      <c r="G852" s="17"/>
    </row>
    <row r="853" spans="2:7" ht="13.2" x14ac:dyDescent="0.25">
      <c r="B853" s="17"/>
      <c r="C853" s="17"/>
      <c r="D853" s="17"/>
      <c r="E853" s="17"/>
      <c r="F853" s="17"/>
      <c r="G853" s="17"/>
    </row>
    <row r="854" spans="2:7" ht="13.2" x14ac:dyDescent="0.25">
      <c r="B854" s="17"/>
      <c r="C854" s="17"/>
      <c r="D854" s="17"/>
      <c r="E854" s="17"/>
      <c r="F854" s="17"/>
      <c r="G854" s="17"/>
    </row>
    <row r="855" spans="2:7" ht="13.2" x14ac:dyDescent="0.25">
      <c r="B855" s="17"/>
      <c r="C855" s="17"/>
      <c r="D855" s="17"/>
      <c r="E855" s="17"/>
      <c r="F855" s="17"/>
      <c r="G855" s="17"/>
    </row>
    <row r="856" spans="2:7" ht="13.2" x14ac:dyDescent="0.25">
      <c r="B856" s="17"/>
      <c r="C856" s="17"/>
      <c r="D856" s="17"/>
      <c r="E856" s="17"/>
      <c r="F856" s="17"/>
      <c r="G856" s="17"/>
    </row>
    <row r="857" spans="2:7" ht="13.2" x14ac:dyDescent="0.25">
      <c r="B857" s="17"/>
      <c r="C857" s="17"/>
      <c r="D857" s="17"/>
      <c r="E857" s="17"/>
      <c r="F857" s="17"/>
      <c r="G857" s="17"/>
    </row>
    <row r="858" spans="2:7" ht="13.2" x14ac:dyDescent="0.25">
      <c r="B858" s="17"/>
      <c r="C858" s="17"/>
      <c r="D858" s="17"/>
      <c r="E858" s="17"/>
      <c r="F858" s="17"/>
      <c r="G858" s="17"/>
    </row>
    <row r="859" spans="2:7" ht="13.2" x14ac:dyDescent="0.25">
      <c r="B859" s="17"/>
      <c r="C859" s="17"/>
      <c r="D859" s="17"/>
      <c r="E859" s="17"/>
      <c r="F859" s="17"/>
      <c r="G859" s="17"/>
    </row>
    <row r="860" spans="2:7" ht="13.2" x14ac:dyDescent="0.25">
      <c r="B860" s="17"/>
      <c r="C860" s="17"/>
      <c r="D860" s="17"/>
      <c r="E860" s="17"/>
      <c r="F860" s="17"/>
      <c r="G860" s="17"/>
    </row>
    <row r="861" spans="2:7" ht="13.2" x14ac:dyDescent="0.25">
      <c r="B861" s="17"/>
      <c r="C861" s="17"/>
      <c r="D861" s="17"/>
      <c r="E861" s="17"/>
      <c r="F861" s="17"/>
      <c r="G861" s="17"/>
    </row>
    <row r="862" spans="2:7" ht="13.2" x14ac:dyDescent="0.25">
      <c r="B862" s="17"/>
      <c r="C862" s="17"/>
      <c r="D862" s="17"/>
      <c r="E862" s="17"/>
      <c r="F862" s="17"/>
      <c r="G862" s="17"/>
    </row>
    <row r="863" spans="2:7" ht="13.2" x14ac:dyDescent="0.25">
      <c r="B863" s="17"/>
      <c r="C863" s="17"/>
      <c r="D863" s="17"/>
      <c r="E863" s="17"/>
      <c r="F863" s="17"/>
      <c r="G863" s="17"/>
    </row>
    <row r="864" spans="2:7" ht="13.2" x14ac:dyDescent="0.25">
      <c r="B864" s="17"/>
      <c r="C864" s="17"/>
      <c r="D864" s="17"/>
      <c r="E864" s="17"/>
      <c r="F864" s="17"/>
      <c r="G864" s="17"/>
    </row>
    <row r="865" spans="2:7" ht="13.2" x14ac:dyDescent="0.25">
      <c r="B865" s="17"/>
      <c r="C865" s="17"/>
      <c r="D865" s="17"/>
      <c r="E865" s="17"/>
      <c r="F865" s="17"/>
      <c r="G865" s="17"/>
    </row>
    <row r="866" spans="2:7" ht="13.2" x14ac:dyDescent="0.25">
      <c r="B866" s="17"/>
      <c r="C866" s="17"/>
      <c r="D866" s="17"/>
      <c r="E866" s="17"/>
      <c r="F866" s="17"/>
      <c r="G866" s="17"/>
    </row>
    <row r="867" spans="2:7" ht="13.2" x14ac:dyDescent="0.25">
      <c r="B867" s="17"/>
      <c r="C867" s="17"/>
      <c r="D867" s="17"/>
      <c r="E867" s="17"/>
      <c r="F867" s="17"/>
      <c r="G867" s="17"/>
    </row>
    <row r="868" spans="2:7" ht="13.2" x14ac:dyDescent="0.25">
      <c r="B868" s="17"/>
      <c r="C868" s="17"/>
      <c r="D868" s="17"/>
      <c r="E868" s="17"/>
      <c r="F868" s="17"/>
      <c r="G868" s="17"/>
    </row>
    <row r="869" spans="2:7" ht="13.2" x14ac:dyDescent="0.25">
      <c r="B869" s="17"/>
      <c r="C869" s="17"/>
      <c r="D869" s="17"/>
      <c r="E869" s="17"/>
      <c r="F869" s="17"/>
      <c r="G869" s="17"/>
    </row>
    <row r="870" spans="2:7" ht="13.2" x14ac:dyDescent="0.25">
      <c r="B870" s="17"/>
      <c r="C870" s="17"/>
      <c r="D870" s="17"/>
      <c r="E870" s="17"/>
      <c r="F870" s="17"/>
      <c r="G870" s="17"/>
    </row>
    <row r="871" spans="2:7" ht="13.2" x14ac:dyDescent="0.25">
      <c r="B871" s="17"/>
      <c r="C871" s="17"/>
      <c r="D871" s="17"/>
      <c r="E871" s="17"/>
      <c r="F871" s="17"/>
      <c r="G871" s="17"/>
    </row>
    <row r="872" spans="2:7" ht="13.2" x14ac:dyDescent="0.25">
      <c r="B872" s="17"/>
      <c r="C872" s="17"/>
      <c r="D872" s="17"/>
      <c r="E872" s="17"/>
      <c r="F872" s="17"/>
      <c r="G872" s="17"/>
    </row>
    <row r="873" spans="2:7" ht="13.2" x14ac:dyDescent="0.25">
      <c r="B873" s="17"/>
      <c r="C873" s="17"/>
      <c r="D873" s="17"/>
      <c r="E873" s="17"/>
      <c r="F873" s="17"/>
      <c r="G873" s="17"/>
    </row>
    <row r="874" spans="2:7" ht="13.2" x14ac:dyDescent="0.25">
      <c r="B874" s="17"/>
      <c r="C874" s="17"/>
      <c r="D874" s="17"/>
      <c r="E874" s="17"/>
      <c r="F874" s="17"/>
      <c r="G874" s="17"/>
    </row>
    <row r="875" spans="2:7" ht="13.2" x14ac:dyDescent="0.25">
      <c r="B875" s="17"/>
      <c r="C875" s="17"/>
      <c r="D875" s="17"/>
      <c r="E875" s="17"/>
      <c r="F875" s="17"/>
      <c r="G875" s="17"/>
    </row>
    <row r="876" spans="2:7" ht="13.2" x14ac:dyDescent="0.25">
      <c r="B876" s="17"/>
      <c r="C876" s="17"/>
      <c r="D876" s="17"/>
      <c r="E876" s="17"/>
      <c r="F876" s="17"/>
      <c r="G876" s="17"/>
    </row>
    <row r="877" spans="2:7" ht="13.2" x14ac:dyDescent="0.25">
      <c r="B877" s="17"/>
      <c r="C877" s="17"/>
      <c r="D877" s="17"/>
      <c r="E877" s="17"/>
      <c r="F877" s="17"/>
      <c r="G877" s="17"/>
    </row>
    <row r="878" spans="2:7" ht="13.2" x14ac:dyDescent="0.25">
      <c r="B878" s="17"/>
      <c r="C878" s="17"/>
      <c r="D878" s="17"/>
      <c r="E878" s="17"/>
      <c r="F878" s="17"/>
      <c r="G878" s="17"/>
    </row>
    <row r="879" spans="2:7" ht="13.2" x14ac:dyDescent="0.25">
      <c r="B879" s="17"/>
      <c r="C879" s="17"/>
      <c r="D879" s="17"/>
      <c r="E879" s="17"/>
      <c r="F879" s="17"/>
      <c r="G879" s="17"/>
    </row>
    <row r="880" spans="2:7" ht="13.2" x14ac:dyDescent="0.25">
      <c r="B880" s="17"/>
      <c r="C880" s="17"/>
      <c r="D880" s="17"/>
      <c r="E880" s="17"/>
      <c r="F880" s="17"/>
      <c r="G880" s="17"/>
    </row>
    <row r="881" spans="2:7" ht="13.2" x14ac:dyDescent="0.25">
      <c r="B881" s="17"/>
      <c r="C881" s="17"/>
      <c r="D881" s="17"/>
      <c r="E881" s="17"/>
      <c r="F881" s="17"/>
      <c r="G881" s="17"/>
    </row>
    <row r="882" spans="2:7" ht="13.2" x14ac:dyDescent="0.25">
      <c r="B882" s="17"/>
      <c r="C882" s="17"/>
      <c r="D882" s="17"/>
      <c r="E882" s="17"/>
      <c r="F882" s="17"/>
      <c r="G882" s="17"/>
    </row>
    <row r="883" spans="2:7" ht="13.2" x14ac:dyDescent="0.25">
      <c r="B883" s="17"/>
      <c r="C883" s="17"/>
      <c r="D883" s="17"/>
      <c r="E883" s="17"/>
      <c r="F883" s="17"/>
      <c r="G883" s="17"/>
    </row>
    <row r="884" spans="2:7" ht="13.2" x14ac:dyDescent="0.25">
      <c r="B884" s="17"/>
      <c r="C884" s="17"/>
      <c r="D884" s="17"/>
      <c r="E884" s="17"/>
      <c r="F884" s="17"/>
      <c r="G884" s="17"/>
    </row>
    <row r="885" spans="2:7" ht="13.2" x14ac:dyDescent="0.25">
      <c r="B885" s="17"/>
      <c r="C885" s="17"/>
      <c r="D885" s="17"/>
      <c r="E885" s="17"/>
      <c r="F885" s="17"/>
      <c r="G885" s="17"/>
    </row>
    <row r="886" spans="2:7" ht="13.2" x14ac:dyDescent="0.25">
      <c r="B886" s="17"/>
      <c r="C886" s="17"/>
      <c r="D886" s="17"/>
      <c r="E886" s="17"/>
      <c r="F886" s="17"/>
      <c r="G886" s="17"/>
    </row>
    <row r="887" spans="2:7" ht="13.2" x14ac:dyDescent="0.25">
      <c r="B887" s="17"/>
      <c r="C887" s="17"/>
      <c r="D887" s="17"/>
      <c r="E887" s="17"/>
      <c r="F887" s="17"/>
      <c r="G887" s="17"/>
    </row>
    <row r="888" spans="2:7" ht="13.2" x14ac:dyDescent="0.25">
      <c r="B888" s="17"/>
      <c r="C888" s="17"/>
      <c r="D888" s="17"/>
      <c r="E888" s="17"/>
      <c r="F888" s="17"/>
      <c r="G888" s="17"/>
    </row>
    <row r="889" spans="2:7" ht="13.2" x14ac:dyDescent="0.25">
      <c r="B889" s="17"/>
      <c r="C889" s="17"/>
      <c r="D889" s="17"/>
      <c r="E889" s="17"/>
      <c r="F889" s="17"/>
      <c r="G889" s="17"/>
    </row>
    <row r="890" spans="2:7" ht="13.2" x14ac:dyDescent="0.25">
      <c r="B890" s="17"/>
      <c r="C890" s="17"/>
      <c r="D890" s="17"/>
      <c r="E890" s="17"/>
      <c r="F890" s="17"/>
      <c r="G890" s="17"/>
    </row>
    <row r="891" spans="2:7" ht="13.2" x14ac:dyDescent="0.25">
      <c r="B891" s="17"/>
      <c r="C891" s="17"/>
      <c r="D891" s="17"/>
      <c r="E891" s="17"/>
      <c r="F891" s="17"/>
      <c r="G891" s="17"/>
    </row>
    <row r="892" spans="2:7" ht="13.2" x14ac:dyDescent="0.25">
      <c r="B892" s="17"/>
      <c r="C892" s="17"/>
      <c r="D892" s="17"/>
      <c r="E892" s="17"/>
      <c r="F892" s="17"/>
      <c r="G892" s="17"/>
    </row>
    <row r="893" spans="2:7" ht="13.2" x14ac:dyDescent="0.25">
      <c r="B893" s="17"/>
      <c r="C893" s="17"/>
      <c r="D893" s="17"/>
      <c r="E893" s="17"/>
      <c r="F893" s="17"/>
      <c r="G893" s="17"/>
    </row>
    <row r="894" spans="2:7" ht="13.2" x14ac:dyDescent="0.25">
      <c r="B894" s="17"/>
      <c r="C894" s="17"/>
      <c r="D894" s="17"/>
      <c r="E894" s="17"/>
      <c r="F894" s="17"/>
      <c r="G894" s="17"/>
    </row>
    <row r="895" spans="2:7" ht="13.2" x14ac:dyDescent="0.25">
      <c r="B895" s="17"/>
      <c r="C895" s="17"/>
      <c r="D895" s="17"/>
      <c r="E895" s="17"/>
      <c r="F895" s="17"/>
      <c r="G895" s="17"/>
    </row>
    <row r="896" spans="2:7" ht="13.2" x14ac:dyDescent="0.25">
      <c r="B896" s="17"/>
      <c r="C896" s="17"/>
      <c r="D896" s="17"/>
      <c r="E896" s="17"/>
      <c r="F896" s="17"/>
      <c r="G896" s="17"/>
    </row>
    <row r="897" spans="2:7" ht="13.2" x14ac:dyDescent="0.25">
      <c r="B897" s="17"/>
      <c r="C897" s="17"/>
      <c r="D897" s="17"/>
      <c r="E897" s="17"/>
      <c r="F897" s="17"/>
      <c r="G897" s="17"/>
    </row>
    <row r="898" spans="2:7" ht="13.2" x14ac:dyDescent="0.25">
      <c r="B898" s="17"/>
      <c r="C898" s="17"/>
      <c r="D898" s="17"/>
      <c r="E898" s="17"/>
      <c r="F898" s="17"/>
      <c r="G898" s="17"/>
    </row>
    <row r="899" spans="2:7" ht="13.2" x14ac:dyDescent="0.25">
      <c r="B899" s="17"/>
      <c r="C899" s="17"/>
      <c r="D899" s="17"/>
      <c r="E899" s="17"/>
      <c r="F899" s="17"/>
      <c r="G899" s="17"/>
    </row>
    <row r="900" spans="2:7" ht="13.2" x14ac:dyDescent="0.25">
      <c r="B900" s="17"/>
      <c r="C900" s="17"/>
      <c r="D900" s="17"/>
      <c r="E900" s="17"/>
      <c r="F900" s="17"/>
      <c r="G900" s="17"/>
    </row>
    <row r="901" spans="2:7" ht="13.2" x14ac:dyDescent="0.25">
      <c r="B901" s="17"/>
      <c r="C901" s="17"/>
      <c r="D901" s="17"/>
      <c r="E901" s="17"/>
      <c r="F901" s="17"/>
      <c r="G901" s="17"/>
    </row>
    <row r="902" spans="2:7" ht="13.2" x14ac:dyDescent="0.25">
      <c r="B902" s="17"/>
      <c r="C902" s="17"/>
      <c r="D902" s="17"/>
      <c r="E902" s="17"/>
      <c r="F902" s="17"/>
      <c r="G902" s="17"/>
    </row>
    <row r="903" spans="2:7" ht="13.2" x14ac:dyDescent="0.25">
      <c r="B903" s="17"/>
      <c r="C903" s="17"/>
      <c r="D903" s="17"/>
      <c r="E903" s="17"/>
      <c r="F903" s="17"/>
      <c r="G903" s="17"/>
    </row>
    <row r="904" spans="2:7" ht="13.2" x14ac:dyDescent="0.25">
      <c r="B904" s="17"/>
      <c r="C904" s="17"/>
      <c r="D904" s="17"/>
      <c r="E904" s="17"/>
      <c r="F904" s="17"/>
      <c r="G904" s="17"/>
    </row>
    <row r="905" spans="2:7" ht="13.2" x14ac:dyDescent="0.25">
      <c r="B905" s="17"/>
      <c r="C905" s="17"/>
      <c r="D905" s="17"/>
      <c r="E905" s="17"/>
      <c r="F905" s="17"/>
      <c r="G905" s="17"/>
    </row>
    <row r="906" spans="2:7" ht="13.2" x14ac:dyDescent="0.25">
      <c r="B906" s="17"/>
      <c r="C906" s="17"/>
      <c r="D906" s="17"/>
      <c r="E906" s="17"/>
      <c r="F906" s="17"/>
      <c r="G906" s="17"/>
    </row>
    <row r="907" spans="2:7" ht="13.2" x14ac:dyDescent="0.25">
      <c r="B907" s="17"/>
      <c r="C907" s="17"/>
      <c r="D907" s="17"/>
      <c r="E907" s="17"/>
      <c r="F907" s="17"/>
      <c r="G907" s="17"/>
    </row>
    <row r="908" spans="2:7" ht="13.2" x14ac:dyDescent="0.25">
      <c r="B908" s="17"/>
      <c r="C908" s="17"/>
      <c r="D908" s="17"/>
      <c r="E908" s="17"/>
      <c r="F908" s="17"/>
      <c r="G908" s="17"/>
    </row>
    <row r="909" spans="2:7" ht="13.2" x14ac:dyDescent="0.25">
      <c r="B909" s="17"/>
      <c r="C909" s="17"/>
      <c r="D909" s="17"/>
      <c r="E909" s="17"/>
      <c r="F909" s="17"/>
      <c r="G909" s="17"/>
    </row>
    <row r="910" spans="2:7" ht="13.2" x14ac:dyDescent="0.25">
      <c r="B910" s="17"/>
      <c r="C910" s="17"/>
      <c r="D910" s="17"/>
      <c r="E910" s="17"/>
      <c r="F910" s="17"/>
      <c r="G910" s="17"/>
    </row>
    <row r="911" spans="2:7" ht="13.2" x14ac:dyDescent="0.25">
      <c r="B911" s="17"/>
      <c r="C911" s="17"/>
      <c r="D911" s="17"/>
      <c r="E911" s="17"/>
      <c r="F911" s="17"/>
      <c r="G911" s="17"/>
    </row>
    <row r="912" spans="2:7" ht="13.2" x14ac:dyDescent="0.25">
      <c r="B912" s="17"/>
      <c r="C912" s="17"/>
      <c r="D912" s="17"/>
      <c r="E912" s="17"/>
      <c r="F912" s="17"/>
      <c r="G912" s="17"/>
    </row>
    <row r="913" spans="2:7" ht="13.2" x14ac:dyDescent="0.25">
      <c r="B913" s="17"/>
      <c r="C913" s="17"/>
      <c r="D913" s="17"/>
      <c r="E913" s="17"/>
      <c r="F913" s="17"/>
      <c r="G913" s="17"/>
    </row>
    <row r="914" spans="2:7" ht="13.2" x14ac:dyDescent="0.25">
      <c r="B914" s="17"/>
      <c r="C914" s="17"/>
      <c r="D914" s="17"/>
      <c r="E914" s="17"/>
      <c r="F914" s="17"/>
      <c r="G914" s="17"/>
    </row>
    <row r="915" spans="2:7" ht="13.2" x14ac:dyDescent="0.25">
      <c r="B915" s="17"/>
      <c r="C915" s="17"/>
      <c r="D915" s="17"/>
      <c r="E915" s="17"/>
      <c r="F915" s="17"/>
      <c r="G915" s="17"/>
    </row>
    <row r="916" spans="2:7" ht="13.2" x14ac:dyDescent="0.25">
      <c r="B916" s="17"/>
      <c r="C916" s="17"/>
      <c r="D916" s="17"/>
      <c r="E916" s="17"/>
      <c r="F916" s="17"/>
      <c r="G916" s="17"/>
    </row>
    <row r="917" spans="2:7" ht="13.2" x14ac:dyDescent="0.25">
      <c r="B917" s="17"/>
      <c r="C917" s="17"/>
      <c r="D917" s="17"/>
      <c r="E917" s="17"/>
      <c r="F917" s="17"/>
      <c r="G917" s="17"/>
    </row>
    <row r="918" spans="2:7" ht="13.2" x14ac:dyDescent="0.25">
      <c r="B918" s="17"/>
      <c r="C918" s="17"/>
      <c r="D918" s="17"/>
      <c r="E918" s="17"/>
      <c r="F918" s="17"/>
      <c r="G918" s="17"/>
    </row>
    <row r="919" spans="2:7" ht="13.2" x14ac:dyDescent="0.25">
      <c r="B919" s="17"/>
      <c r="C919" s="17"/>
      <c r="D919" s="17"/>
      <c r="E919" s="17"/>
      <c r="F919" s="17"/>
      <c r="G919" s="17"/>
    </row>
    <row r="920" spans="2:7" ht="13.2" x14ac:dyDescent="0.25">
      <c r="B920" s="17"/>
      <c r="C920" s="17"/>
      <c r="D920" s="17"/>
      <c r="E920" s="17"/>
      <c r="F920" s="17"/>
      <c r="G920" s="17"/>
    </row>
    <row r="921" spans="2:7" ht="13.2" x14ac:dyDescent="0.25">
      <c r="B921" s="17"/>
      <c r="C921" s="17"/>
      <c r="D921" s="17"/>
      <c r="E921" s="17"/>
      <c r="F921" s="17"/>
      <c r="G921" s="17"/>
    </row>
    <row r="922" spans="2:7" ht="13.2" x14ac:dyDescent="0.25">
      <c r="B922" s="17"/>
      <c r="C922" s="17"/>
      <c r="D922" s="17"/>
      <c r="E922" s="17"/>
      <c r="F922" s="17"/>
      <c r="G922" s="17"/>
    </row>
    <row r="923" spans="2:7" ht="13.2" x14ac:dyDescent="0.25">
      <c r="B923" s="17"/>
      <c r="C923" s="17"/>
      <c r="D923" s="17"/>
      <c r="E923" s="17"/>
      <c r="F923" s="17"/>
      <c r="G923" s="17"/>
    </row>
    <row r="924" spans="2:7" ht="13.2" x14ac:dyDescent="0.25">
      <c r="B924" s="17"/>
      <c r="C924" s="17"/>
      <c r="D924" s="17"/>
      <c r="E924" s="17"/>
      <c r="F924" s="17"/>
      <c r="G924" s="17"/>
    </row>
    <row r="925" spans="2:7" ht="13.2" x14ac:dyDescent="0.25">
      <c r="B925" s="17"/>
      <c r="C925" s="17"/>
      <c r="D925" s="17"/>
      <c r="E925" s="17"/>
      <c r="F925" s="17"/>
      <c r="G925" s="17"/>
    </row>
    <row r="926" spans="2:7" ht="13.2" x14ac:dyDescent="0.25">
      <c r="B926" s="17"/>
      <c r="C926" s="17"/>
      <c r="D926" s="17"/>
      <c r="E926" s="17"/>
      <c r="F926" s="17"/>
      <c r="G926" s="17"/>
    </row>
    <row r="927" spans="2:7" ht="13.2" x14ac:dyDescent="0.25">
      <c r="B927" s="17"/>
      <c r="C927" s="17"/>
      <c r="D927" s="17"/>
      <c r="E927" s="17"/>
      <c r="F927" s="17"/>
      <c r="G927" s="17"/>
    </row>
    <row r="928" spans="2:7" ht="13.2" x14ac:dyDescent="0.25">
      <c r="B928" s="17"/>
      <c r="C928" s="17"/>
      <c r="D928" s="17"/>
      <c r="E928" s="17"/>
      <c r="F928" s="17"/>
      <c r="G928" s="17"/>
    </row>
    <row r="929" spans="2:7" ht="13.2" x14ac:dyDescent="0.25">
      <c r="B929" s="17"/>
      <c r="C929" s="17"/>
      <c r="D929" s="17"/>
      <c r="E929" s="17"/>
      <c r="F929" s="17"/>
      <c r="G929" s="17"/>
    </row>
    <row r="930" spans="2:7" ht="13.2" x14ac:dyDescent="0.25">
      <c r="B930" s="17"/>
      <c r="C930" s="17"/>
      <c r="D930" s="17"/>
      <c r="E930" s="17"/>
      <c r="F930" s="17"/>
      <c r="G930" s="17"/>
    </row>
    <row r="931" spans="2:7" ht="13.2" x14ac:dyDescent="0.25">
      <c r="B931" s="17"/>
      <c r="C931" s="17"/>
      <c r="D931" s="17"/>
      <c r="E931" s="17"/>
      <c r="F931" s="17"/>
      <c r="G931" s="17"/>
    </row>
    <row r="932" spans="2:7" ht="13.2" x14ac:dyDescent="0.25">
      <c r="B932" s="17"/>
      <c r="C932" s="17"/>
      <c r="D932" s="17"/>
      <c r="E932" s="17"/>
      <c r="F932" s="17"/>
      <c r="G932" s="17"/>
    </row>
    <row r="933" spans="2:7" ht="13.2" x14ac:dyDescent="0.25">
      <c r="B933" s="17"/>
      <c r="C933" s="17"/>
      <c r="D933" s="17"/>
      <c r="E933" s="17"/>
      <c r="F933" s="17"/>
      <c r="G933" s="17"/>
    </row>
    <row r="934" spans="2:7" ht="13.2" x14ac:dyDescent="0.25">
      <c r="B934" s="17"/>
      <c r="C934" s="17"/>
      <c r="D934" s="17"/>
      <c r="E934" s="17"/>
      <c r="F934" s="17"/>
      <c r="G934" s="17"/>
    </row>
    <row r="935" spans="2:7" ht="13.2" x14ac:dyDescent="0.25">
      <c r="B935" s="17"/>
      <c r="C935" s="17"/>
      <c r="D935" s="17"/>
      <c r="E935" s="17"/>
      <c r="F935" s="17"/>
      <c r="G935" s="17"/>
    </row>
    <row r="936" spans="2:7" ht="13.2" x14ac:dyDescent="0.25">
      <c r="B936" s="17"/>
      <c r="C936" s="17"/>
      <c r="D936" s="17"/>
      <c r="E936" s="17"/>
      <c r="F936" s="17"/>
      <c r="G936" s="17"/>
    </row>
    <row r="937" spans="2:7" ht="13.2" x14ac:dyDescent="0.25">
      <c r="B937" s="17"/>
      <c r="C937" s="17"/>
      <c r="D937" s="17"/>
      <c r="E937" s="17"/>
      <c r="F937" s="17"/>
      <c r="G937" s="17"/>
    </row>
    <row r="938" spans="2:7" ht="13.2" x14ac:dyDescent="0.25">
      <c r="B938" s="17"/>
      <c r="C938" s="17"/>
      <c r="D938" s="17"/>
      <c r="E938" s="17"/>
      <c r="F938" s="17"/>
      <c r="G938" s="17"/>
    </row>
    <row r="939" spans="2:7" ht="13.2" x14ac:dyDescent="0.25">
      <c r="B939" s="17"/>
      <c r="C939" s="17"/>
      <c r="D939" s="17"/>
      <c r="E939" s="17"/>
      <c r="F939" s="17"/>
      <c r="G939" s="17"/>
    </row>
    <row r="940" spans="2:7" ht="13.2" x14ac:dyDescent="0.25">
      <c r="B940" s="17"/>
      <c r="C940" s="17"/>
      <c r="D940" s="17"/>
      <c r="E940" s="17"/>
      <c r="F940" s="17"/>
      <c r="G940" s="17"/>
    </row>
    <row r="941" spans="2:7" ht="13.2" x14ac:dyDescent="0.25">
      <c r="B941" s="17"/>
      <c r="C941" s="17"/>
      <c r="D941" s="17"/>
      <c r="E941" s="17"/>
      <c r="F941" s="17"/>
      <c r="G941" s="17"/>
    </row>
    <row r="942" spans="2:7" ht="13.2" x14ac:dyDescent="0.25">
      <c r="B942" s="17"/>
      <c r="C942" s="17"/>
      <c r="D942" s="17"/>
      <c r="E942" s="17"/>
      <c r="F942" s="17"/>
      <c r="G942" s="17"/>
    </row>
    <row r="943" spans="2:7" ht="13.2" x14ac:dyDescent="0.25">
      <c r="B943" s="17"/>
      <c r="C943" s="17"/>
      <c r="D943" s="17"/>
      <c r="E943" s="17"/>
      <c r="F943" s="17"/>
      <c r="G943" s="17"/>
    </row>
    <row r="944" spans="2:7" ht="13.2" x14ac:dyDescent="0.25">
      <c r="B944" s="17"/>
      <c r="C944" s="17"/>
      <c r="D944" s="17"/>
      <c r="E944" s="17"/>
      <c r="F944" s="17"/>
      <c r="G944" s="17"/>
    </row>
    <row r="945" spans="2:7" ht="13.2" x14ac:dyDescent="0.25">
      <c r="B945" s="17"/>
      <c r="C945" s="17"/>
      <c r="D945" s="17"/>
      <c r="E945" s="17"/>
      <c r="F945" s="17"/>
      <c r="G945" s="17"/>
    </row>
    <row r="946" spans="2:7" ht="13.2" x14ac:dyDescent="0.25">
      <c r="B946" s="17"/>
      <c r="C946" s="17"/>
      <c r="D946" s="17"/>
      <c r="E946" s="17"/>
      <c r="F946" s="17"/>
      <c r="G946" s="17"/>
    </row>
    <row r="947" spans="2:7" ht="13.2" x14ac:dyDescent="0.25">
      <c r="B947" s="17"/>
      <c r="C947" s="17"/>
      <c r="D947" s="17"/>
      <c r="E947" s="17"/>
      <c r="F947" s="17"/>
      <c r="G947" s="17"/>
    </row>
    <row r="948" spans="2:7" ht="13.2" x14ac:dyDescent="0.25">
      <c r="B948" s="17"/>
      <c r="C948" s="17"/>
      <c r="D948" s="17"/>
      <c r="E948" s="17"/>
      <c r="F948" s="17"/>
      <c r="G948" s="17"/>
    </row>
    <row r="949" spans="2:7" ht="13.2" x14ac:dyDescent="0.25">
      <c r="B949" s="17"/>
      <c r="C949" s="17"/>
      <c r="D949" s="17"/>
      <c r="E949" s="17"/>
      <c r="F949" s="17"/>
      <c r="G949" s="17"/>
    </row>
    <row r="950" spans="2:7" ht="13.2" x14ac:dyDescent="0.25">
      <c r="B950" s="17"/>
      <c r="C950" s="17"/>
      <c r="D950" s="17"/>
      <c r="E950" s="17"/>
      <c r="F950" s="17"/>
      <c r="G950" s="17"/>
    </row>
    <row r="951" spans="2:7" ht="13.2" x14ac:dyDescent="0.25">
      <c r="B951" s="17"/>
      <c r="C951" s="17"/>
      <c r="D951" s="17"/>
      <c r="E951" s="17"/>
      <c r="F951" s="17"/>
      <c r="G951" s="17"/>
    </row>
    <row r="952" spans="2:7" ht="13.2" x14ac:dyDescent="0.25">
      <c r="B952" s="17"/>
      <c r="C952" s="17"/>
      <c r="D952" s="17"/>
      <c r="E952" s="17"/>
      <c r="F952" s="17"/>
      <c r="G952" s="17"/>
    </row>
    <row r="953" spans="2:7" ht="13.2" x14ac:dyDescent="0.25">
      <c r="B953" s="17"/>
      <c r="C953" s="17"/>
      <c r="D953" s="17"/>
      <c r="E953" s="17"/>
      <c r="F953" s="17"/>
      <c r="G953" s="17"/>
    </row>
    <row r="954" spans="2:7" ht="13.2" x14ac:dyDescent="0.25">
      <c r="B954" s="17"/>
      <c r="C954" s="17"/>
      <c r="D954" s="17"/>
      <c r="E954" s="17"/>
      <c r="F954" s="17"/>
      <c r="G954" s="17"/>
    </row>
    <row r="955" spans="2:7" ht="13.2" x14ac:dyDescent="0.25">
      <c r="B955" s="17"/>
      <c r="C955" s="17"/>
      <c r="D955" s="17"/>
      <c r="E955" s="17"/>
      <c r="F955" s="17"/>
      <c r="G955" s="17"/>
    </row>
    <row r="956" spans="2:7" ht="13.2" x14ac:dyDescent="0.25">
      <c r="B956" s="17"/>
      <c r="C956" s="17"/>
      <c r="D956" s="17"/>
      <c r="E956" s="17"/>
      <c r="F956" s="17"/>
      <c r="G956" s="17"/>
    </row>
    <row r="957" spans="2:7" ht="13.2" x14ac:dyDescent="0.25">
      <c r="B957" s="17"/>
      <c r="C957" s="17"/>
      <c r="D957" s="17"/>
      <c r="E957" s="17"/>
      <c r="F957" s="17"/>
      <c r="G957" s="17"/>
    </row>
    <row r="958" spans="2:7" ht="13.2" x14ac:dyDescent="0.25">
      <c r="B958" s="17"/>
      <c r="C958" s="17"/>
      <c r="D958" s="17"/>
      <c r="E958" s="17"/>
      <c r="F958" s="17"/>
      <c r="G958" s="17"/>
    </row>
    <row r="959" spans="2:7" ht="13.2" x14ac:dyDescent="0.25">
      <c r="B959" s="17"/>
      <c r="C959" s="17"/>
      <c r="D959" s="17"/>
      <c r="E959" s="17"/>
      <c r="F959" s="17"/>
      <c r="G959" s="17"/>
    </row>
    <row r="960" spans="2:7" ht="13.2" x14ac:dyDescent="0.25">
      <c r="B960" s="17"/>
      <c r="C960" s="17"/>
      <c r="D960" s="17"/>
      <c r="E960" s="17"/>
      <c r="F960" s="17"/>
      <c r="G960" s="17"/>
    </row>
    <row r="961" spans="2:7" ht="13.2" x14ac:dyDescent="0.25">
      <c r="B961" s="17"/>
      <c r="C961" s="17"/>
      <c r="D961" s="17"/>
      <c r="E961" s="17"/>
      <c r="F961" s="17"/>
      <c r="G961" s="17"/>
    </row>
    <row r="962" spans="2:7" ht="13.2" x14ac:dyDescent="0.25">
      <c r="B962" s="17"/>
      <c r="C962" s="17"/>
      <c r="D962" s="17"/>
      <c r="E962" s="17"/>
      <c r="F962" s="17"/>
      <c r="G962" s="17"/>
    </row>
    <row r="963" spans="2:7" ht="13.2" x14ac:dyDescent="0.25">
      <c r="B963" s="17"/>
      <c r="C963" s="17"/>
      <c r="D963" s="17"/>
      <c r="E963" s="17"/>
      <c r="F963" s="17"/>
      <c r="G963" s="17"/>
    </row>
    <row r="964" spans="2:7" ht="13.2" x14ac:dyDescent="0.25">
      <c r="B964" s="17"/>
      <c r="C964" s="17"/>
      <c r="D964" s="17"/>
      <c r="E964" s="17"/>
      <c r="F964" s="17"/>
      <c r="G964" s="17"/>
    </row>
    <row r="965" spans="2:7" ht="13.2" x14ac:dyDescent="0.25">
      <c r="B965" s="17"/>
      <c r="C965" s="17"/>
      <c r="D965" s="17"/>
      <c r="E965" s="17"/>
      <c r="F965" s="17"/>
      <c r="G965" s="17"/>
    </row>
    <row r="966" spans="2:7" ht="13.2" x14ac:dyDescent="0.25">
      <c r="B966" s="17"/>
      <c r="C966" s="17"/>
      <c r="D966" s="17"/>
      <c r="E966" s="17"/>
      <c r="F966" s="17"/>
      <c r="G966" s="17"/>
    </row>
    <row r="967" spans="2:7" ht="13.2" x14ac:dyDescent="0.25">
      <c r="B967" s="17"/>
      <c r="C967" s="17"/>
      <c r="D967" s="17"/>
      <c r="E967" s="17"/>
      <c r="F967" s="17"/>
      <c r="G967" s="17"/>
    </row>
    <row r="968" spans="2:7" ht="13.2" x14ac:dyDescent="0.25">
      <c r="B968" s="17"/>
      <c r="C968" s="17"/>
      <c r="D968" s="17"/>
      <c r="E968" s="17"/>
      <c r="F968" s="17"/>
      <c r="G968" s="17"/>
    </row>
    <row r="969" spans="2:7" ht="13.2" x14ac:dyDescent="0.25">
      <c r="B969" s="17"/>
      <c r="C969" s="17"/>
      <c r="D969" s="17"/>
      <c r="E969" s="17"/>
      <c r="F969" s="17"/>
      <c r="G969" s="17"/>
    </row>
    <row r="970" spans="2:7" ht="13.2" x14ac:dyDescent="0.25">
      <c r="B970" s="17"/>
      <c r="C970" s="17"/>
      <c r="D970" s="17"/>
      <c r="E970" s="17"/>
      <c r="F970" s="17"/>
      <c r="G970" s="17"/>
    </row>
    <row r="971" spans="2:7" ht="13.2" x14ac:dyDescent="0.25">
      <c r="B971" s="17"/>
      <c r="C971" s="17"/>
      <c r="D971" s="17"/>
      <c r="E971" s="17"/>
      <c r="F971" s="17"/>
      <c r="G971" s="17"/>
    </row>
    <row r="972" spans="2:7" ht="13.2" x14ac:dyDescent="0.25">
      <c r="B972" s="17"/>
      <c r="C972" s="17"/>
      <c r="D972" s="17"/>
      <c r="E972" s="17"/>
      <c r="F972" s="17"/>
      <c r="G972" s="17"/>
    </row>
    <row r="973" spans="2:7" ht="13.2" x14ac:dyDescent="0.25">
      <c r="B973" s="17"/>
      <c r="C973" s="17"/>
      <c r="D973" s="17"/>
      <c r="E973" s="17"/>
      <c r="F973" s="17"/>
      <c r="G973" s="17"/>
    </row>
    <row r="974" spans="2:7" ht="13.2" x14ac:dyDescent="0.25">
      <c r="B974" s="17"/>
      <c r="C974" s="17"/>
      <c r="D974" s="17"/>
      <c r="E974" s="17"/>
      <c r="F974" s="17"/>
      <c r="G974" s="17"/>
    </row>
  </sheetData>
  <autoFilter ref="A2:G4" xr:uid="{00000000-0009-0000-0000-000006000000}"/>
  <mergeCells count="2">
    <mergeCell ref="A1:B1"/>
    <mergeCell ref="C1:G1"/>
  </mergeCells>
  <phoneticPr fontId="5"/>
  <conditionalFormatting sqref="C3:G24">
    <cfRule type="cellIs" dxfId="2" priority="1" operator="greaterThanOrEqual">
      <formula>3</formula>
    </cfRule>
    <cfRule type="cellIs" dxfId="1" priority="2" operator="greaterThanOrEqual">
      <formula>2</formula>
    </cfRule>
    <cfRule type="cellIs" dxfId="0" priority="3" operator="greaterThanOrEqual">
      <formula>1</formula>
    </cfRule>
  </conditionalFormatting>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アンケート結果</vt:lpstr>
      <vt:lpstr>ピボット テーブル</vt:lpstr>
      <vt:lpstr>アンケート集計</vt:lpstr>
      <vt:lpstr>中間データ</vt:lpstr>
      <vt:lpstr>2025年度第1期_アンケート集計</vt:lpstr>
      <vt:lpstr>2025年度第2期_アンケート集計</vt:lpstr>
      <vt:lpstr>2025年度第3期_アンケート集計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正行 下谷</cp:lastModifiedBy>
  <dcterms:modified xsi:type="dcterms:W3CDTF">2026-07-16T05:10:33Z</dcterms:modified>
</cp:coreProperties>
</file>